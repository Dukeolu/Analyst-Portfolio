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 Detail" sheetId="2" state="visible" r:id="rId4"/>
    <sheet name="Region x Category Summary" sheetId="3" state="visible" r:id="rId5"/>
    <sheet name="Margin Bridge" sheetId="4" state="visible" r:id="rId6"/>
    <sheet name="Top Variance Driv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<sst xmlns="http://schemas.openxmlformats.org/spreadsheetml/2006/main" count="1855" uniqueCount="92">
  <si>
    <t xml:space="preserve">Case 03 — Finding Where Margin Is Quietly Leaking</t>
  </si>
  <si>
    <t xml:space="preserve">Finance &amp; Budgeting case study — budget vs. actual profitability by region and category</t>
  </si>
  <si>
    <t xml:space="preserve">Business problem: the business is profitable overall, but budget-to-actual reviews keep</t>
  </si>
  <si>
    <t xml:space="preserve">coming in over on cost-to-serve in specific regions and categories. This workbook finds where.</t>
  </si>
  <si>
    <t xml:space="preserve">Sheet guide:</t>
  </si>
  <si>
    <t xml:space="preserve">  Monthly Detail             576 rows (4 regions x 6 categories x 24 months), budget vs. actual,</t>
  </si>
  <si>
    <t xml:space="preserve">                             with live formulas for revenue/discount/COGS variance and a 3-part</t>
  </si>
  <si>
    <t xml:space="preserve">                             profit-variance bridge (Volume, Discount, COGS effects).</t>
  </si>
  <si>
    <t xml:space="preserve">  Region x Category Summary  Flat SUMIFS table + a pivoted heatmap matrix flagging the leaks.</t>
  </si>
  <si>
    <t xml:space="preserve">  Margin Bridge              Total budget profit -&gt; Volume -&gt; Discount -&gt; COGS -&gt; actual profit,</t>
  </si>
  <si>
    <t xml:space="preserve">                             with a chart. All three effects are provably additive to the total</t>
  </si>
  <si>
    <t xml:space="preserve">                             variance (see the Check column in Monthly Detail).</t>
  </si>
  <si>
    <t xml:space="preserve">  Top Variance Drivers       Worst 8 region x category combos, ranked with SMALL + INDEX/MATCH.</t>
  </si>
  <si>
    <t xml:space="preserve">Color legend:</t>
  </si>
  <si>
    <t xml:space="preserve">  Blue text   = input data (as pulled from budget/actuals systems)</t>
  </si>
  <si>
    <t xml:space="preserve">  Black text  = formulas (recalculate if the inputs change)</t>
  </si>
  <si>
    <t xml:space="preserve">  Heatmap     = red = profit below budget, green = profit above budget</t>
  </si>
  <si>
    <t xml:space="preserve">Data note: this dataset is simulated (see the case README for why and how) -- built to be</t>
  </si>
  <si>
    <t xml:space="preserve">realistic, with two deliberate variance drivers seeded into an otherwise on-plan business:</t>
  </si>
  <si>
    <t xml:space="preserve">a ramping supplier cost overrun in Electronics Accessories, and discount creep in Outdoor &amp;</t>
  </si>
  <si>
    <t xml:space="preserve">Sporting. Everything else moves with ordinary month-to-month noise around budget.</t>
  </si>
  <si>
    <t xml:space="preserve">Month</t>
  </si>
  <si>
    <t xml:space="preserve">Region</t>
  </si>
  <si>
    <t xml:space="preserve">Category</t>
  </si>
  <si>
    <t xml:space="preserve">Budget Gross Rev</t>
  </si>
  <si>
    <t xml:space="preserve">Budget Discount %</t>
  </si>
  <si>
    <t xml:space="preserve">Budget COGS %</t>
  </si>
  <si>
    <t xml:space="preserve">Budget Net Rev</t>
  </si>
  <si>
    <t xml:space="preserve">Budget COGS $</t>
  </si>
  <si>
    <t xml:space="preserve">Budget Profit</t>
  </si>
  <si>
    <t xml:space="preserve">Actual Gross Rev</t>
  </si>
  <si>
    <t xml:space="preserve">Actual Discount %</t>
  </si>
  <si>
    <t xml:space="preserve">Actual COGS %</t>
  </si>
  <si>
    <t xml:space="preserve">Actual Net Rev</t>
  </si>
  <si>
    <t xml:space="preserve">Actual COGS $</t>
  </si>
  <si>
    <t xml:space="preserve">Actual Profit</t>
  </si>
  <si>
    <t xml:space="preserve">Profit Variance $</t>
  </si>
  <si>
    <t xml:space="preserve">Volume Effect $</t>
  </si>
  <si>
    <t xml:space="preserve">Discount Effect $</t>
  </si>
  <si>
    <t xml:space="preserve">COGS Effect $</t>
  </si>
  <si>
    <t xml:space="preserve">Check (should = 0)</t>
  </si>
  <si>
    <t xml:space="preserve">2024-01</t>
  </si>
  <si>
    <t xml:space="preserve">Northeast</t>
  </si>
  <si>
    <t xml:space="preserve">Electronics Accessories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</si>
  <si>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</si>
  <si>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</si>
  <si>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</si>
  <si>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</si>
  <si>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</si>
  <si>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</si>
  <si>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</si>
  <si>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</si>
  <si>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</si>
  <si>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</si>
  <si>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</si>
  <si>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</si>
  <si>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</si>
  <si>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</si>
  <si>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</si>
  <si>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</si>
  <si>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</si>
  <si>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</si>
  <si>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</si>
  <si>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</si>
  <si>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</si>
  <si>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</si>
  <si>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</si>
  <si>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Home &amp; Kitchen</t>
  </si>
  <si>
    <t xml:space="preserve">Office Supplies</t>
  </si>
  <si>
    <t xml:space="preserve">Personal Care</t>
  </si>
  <si>
    <t xml:space="preserve">Outdoor &amp; Sporting</t>
  </si>
  <si>
    <t xml:space="preserve">Pet Supplies</t>
  </si>
  <si>
    <t xml:space="preserve">Midwest</t>
  </si>
  <si>
    <t xml:space="preserve">South</t>
  </si>
  <si>
    <t xml:space="preserve">West</t>
  </si>
  <si>
    <t xml:space="preserve">Total Profit Variance by Region x Category (24 months)</t>
  </si>
  <si>
    <t xml:space="preserve">Flat table (left) drives the heatmap matrix (below) via SUMIFS against Monthly Detail.</t>
  </si>
  <si>
    <t xml:space="preserve">Variance $</t>
  </si>
  <si>
    <t xml:space="preserve">Variance %</t>
  </si>
  <si>
    <t xml:space="preserve">Tiebreak Key</t>
  </si>
  <si>
    <t xml:space="preserve">Variance $ Matrix</t>
  </si>
  <si>
    <t xml:space="preserve">Margin Bridge — Budget Profit to Actual Profit (24 months, network-wide)</t>
  </si>
  <si>
    <t xml:space="preserve">Each effect isolates one lever, holding the others at budget/actual as noted — the three effects sum exactly to total variance.</t>
  </si>
  <si>
    <t xml:space="preserve">Step</t>
  </si>
  <si>
    <t xml:space="preserve">Amount</t>
  </si>
  <si>
    <t xml:space="preserve">Volume/Revenue Effect</t>
  </si>
  <si>
    <t xml:space="preserve">Discount Effect</t>
  </si>
  <si>
    <t xml:space="preserve">COGS Effect</t>
  </si>
  <si>
    <t xml:space="preserve">Top 8 Variance Drivers (most negative first)</t>
  </si>
  <si>
    <t xml:space="preserve">Ranked with SMALL() over a tie-broken key, pulled back with INDEX/MATCH — no manual sorting.</t>
  </si>
  <si>
    <t xml:space="preserve">Rank</t>
  </si>
  <si>
    <t xml:space="preserve">Chart Label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</si>
</sst>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.5"/>
      <color rgb="FF52514E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2514E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Variance $ by Category x Region (24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x Category Summary'!B32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x Category Summary'!$A$33:$A$38</c:f>
              <c:strCache>
                <c:ptCount val="6"/>
                <c:pt idx="0">
                  <c:v>Electronics Accessories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Outdoor &amp; Sporting</c:v>
                </c:pt>
                <c:pt idx="4">
                  <c:v>Personal Care</c:v>
                </c:pt>
                <c:pt idx="5">
                  <c:v>Pet Supplies</c:v>
                </c:pt>
              </c:strCache>
            </c:strRef>
          </c:cat>
          <c:val>
            <c:numRef>
              <c:f>'Region x Category Summary'!$B$33:$B$38</c:f>
              <c:numCache>
                <c:formatCode>\$#,##0;"($"#,##0\);\-</c:formatCode>
                <c:ptCount val="6"/>
                <c:pt idx="0">
                  <c:v>4725.81542130117</c:v>
                </c:pt>
                <c:pt idx="1">
                  <c:v>-18778.9273300418</c:v>
                </c:pt>
                <c:pt idx="2">
                  <c:v>20744.439213719</c:v>
                </c:pt>
                <c:pt idx="3">
                  <c:v>-30786.086010132</c:v>
                </c:pt>
                <c:pt idx="4">
                  <c:v>22898.0701199295</c:v>
                </c:pt>
                <c:pt idx="5">
                  <c:v>5932.0257860173</c:v>
                </c:pt>
              </c:numCache>
            </c:numRef>
          </c:val>
        </c:ser>
        <c:ser>
          <c:idx val="1"/>
          <c:order val="1"/>
          <c:tx>
            <c:strRef>
              <c:f>'Region x Category Summary'!C32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x Category Summary'!$A$33:$A$38</c:f>
              <c:strCache>
                <c:ptCount val="6"/>
                <c:pt idx="0">
                  <c:v>Electronics Accessories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Outdoor &amp; Sporting</c:v>
                </c:pt>
                <c:pt idx="4">
                  <c:v>Personal Care</c:v>
                </c:pt>
                <c:pt idx="5">
                  <c:v>Pet Supplies</c:v>
                </c:pt>
              </c:strCache>
            </c:strRef>
          </c:cat>
          <c:val>
            <c:numRef>
              <c:f>'Region x Category Summary'!$C$33:$C$38</c:f>
              <c:numCache>
                <c:formatCode>\$#,##0;"($"#,##0\);\-</c:formatCode>
                <c:ptCount val="6"/>
                <c:pt idx="0">
                  <c:v>-107797.794453674</c:v>
                </c:pt>
                <c:pt idx="1">
                  <c:v>-11395.1221526486</c:v>
                </c:pt>
                <c:pt idx="2">
                  <c:v>25631.3107404639</c:v>
                </c:pt>
                <c:pt idx="3">
                  <c:v>-8112.93773107464</c:v>
                </c:pt>
                <c:pt idx="4">
                  <c:v>7970.04075363954</c:v>
                </c:pt>
                <c:pt idx="5">
                  <c:v>-3338.18812488369</c:v>
                </c:pt>
              </c:numCache>
            </c:numRef>
          </c:val>
        </c:ser>
        <c:ser>
          <c:idx val="2"/>
          <c:order val="2"/>
          <c:tx>
            <c:strRef>
              <c:f>'Region x Category Summary'!D32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x Category Summary'!$A$33:$A$38</c:f>
              <c:strCache>
                <c:ptCount val="6"/>
                <c:pt idx="0">
                  <c:v>Electronics Accessories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Outdoor &amp; Sporting</c:v>
                </c:pt>
                <c:pt idx="4">
                  <c:v>Personal Care</c:v>
                </c:pt>
                <c:pt idx="5">
                  <c:v>Pet Supplies</c:v>
                </c:pt>
              </c:strCache>
            </c:strRef>
          </c:cat>
          <c:val>
            <c:numRef>
              <c:f>'Region x Category Summary'!$D$33:$D$38</c:f>
              <c:numCache>
                <c:formatCode>\$#,##0;"($"#,##0\);\-</c:formatCode>
                <c:ptCount val="6"/>
                <c:pt idx="0">
                  <c:v>12459.8405565852</c:v>
                </c:pt>
                <c:pt idx="1">
                  <c:v>-6062.91397853801</c:v>
                </c:pt>
                <c:pt idx="2">
                  <c:v>6008.94140026369</c:v>
                </c:pt>
                <c:pt idx="3">
                  <c:v>-59198.8399759876</c:v>
                </c:pt>
                <c:pt idx="4">
                  <c:v>-15643.5536286191</c:v>
                </c:pt>
                <c:pt idx="5">
                  <c:v>451.993220460019</c:v>
                </c:pt>
              </c:numCache>
            </c:numRef>
          </c:val>
        </c:ser>
        <c:ser>
          <c:idx val="3"/>
          <c:order val="3"/>
          <c:tx>
            <c:strRef>
              <c:f>'Region x Category Summary'!E32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x Category Summary'!$A$33:$A$38</c:f>
              <c:strCache>
                <c:ptCount val="6"/>
                <c:pt idx="0">
                  <c:v>Electronics Accessories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Outdoor &amp; Sporting</c:v>
                </c:pt>
                <c:pt idx="4">
                  <c:v>Personal Care</c:v>
                </c:pt>
                <c:pt idx="5">
                  <c:v>Pet Supplies</c:v>
                </c:pt>
              </c:strCache>
            </c:strRef>
          </c:cat>
          <c:val>
            <c:numRef>
              <c:f>'Region x Category Summary'!$E$33:$E$38</c:f>
              <c:numCache>
                <c:formatCode>\$#,##0;"($"#,##0\);\-</c:formatCode>
                <c:ptCount val="6"/>
                <c:pt idx="0">
                  <c:v>-203255.551423786</c:v>
                </c:pt>
                <c:pt idx="1">
                  <c:v>24055.8027511837</c:v>
                </c:pt>
                <c:pt idx="2">
                  <c:v>-13750.1924232277</c:v>
                </c:pt>
                <c:pt idx="3">
                  <c:v>2191.86634884751</c:v>
                </c:pt>
                <c:pt idx="4">
                  <c:v>7455.3052659363</c:v>
                </c:pt>
                <c:pt idx="5">
                  <c:v>4937.52665147418</c:v>
                </c:pt>
              </c:numCache>
            </c:numRef>
          </c:val>
        </c:ser>
        <c:gapWidth val="150"/>
        <c:overlap val="0"/>
        <c:axId val="71912552"/>
        <c:axId val="96555624"/>
      </c:barChart>
      <c:catAx>
        <c:axId val="71912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5624"/>
        <c:crosses val="autoZero"/>
        <c:auto val="1"/>
        <c:lblAlgn val="ctr"/>
        <c:lblOffset val="100"/>
        <c:noMultiLvlLbl val="0"/>
      </c:catAx>
      <c:valAx>
        <c:axId val="965556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$ vs. budget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12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Bridge: Budget → Actual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'Margin Bridge'!B4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'Margin Bridge'!$A$5:$A$9</c:f>
              <c:strCache>
                <c:ptCount val="5"/>
                <c:pt idx="0">
                  <c:v>Budget Profit</c:v>
                </c:pt>
                <c:pt idx="1">
                  <c:v>Volume/Revenue Effect</c:v>
                </c:pt>
                <c:pt idx="2">
                  <c:v>Discount Effect</c:v>
                </c:pt>
                <c:pt idx="3">
                  <c:v>COGS Effect</c:v>
                </c:pt>
                <c:pt idx="4">
                  <c:v>Actual Profit</c:v>
                </c:pt>
              </c:strCache>
            </c:strRef>
          </c:cat>
          <c:val>
            <c:numRef>
              <c:f>'Margin Bridge'!$B$5:$B$9</c:f>
              <c:numCache>
                <c:formatCode>\$#,##0;"($"#,##0\);\-</c:formatCode>
                <c:ptCount val="5"/>
                <c:pt idx="0">
                  <c:v>35503414.101168</c:v>
                </c:pt>
                <c:pt idx="1">
                  <c:v>38621.9562840001</c:v>
                </c:pt>
                <c:pt idx="2">
                  <c:v>-68136.92280726</c:v>
                </c:pt>
                <c:pt idx="3">
                  <c:v>-303142.162479532</c:v>
                </c:pt>
                <c:pt idx="4">
                  <c:v>35170756.9721652</c:v>
                </c:pt>
              </c:numCache>
            </c:numRef>
          </c:val>
        </c:ser>
        <c:gapWidth val="150"/>
        <c:overlap val="0"/>
        <c:axId val="69238940"/>
        <c:axId val="10379256"/>
      </c:barChart>
      <c:catAx>
        <c:axId val="692389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79256"/>
        <c:crosses val="autoZero"/>
        <c:auto val="1"/>
        <c:lblAlgn val="ctr"/>
        <c:lblOffset val="100"/>
        <c:noMultiLvlLbl val="0"/>
      </c:catAx>
      <c:valAx>
        <c:axId val="10379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38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Variance Drivers, ranked (most negative first)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Variance Drivers'!D4</c:f>
              <c:strCache>
                <c:ptCount val="1"/>
                <c:pt idx="0">
                  <c:v>Variance 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Variance Drivers'!$F$5:$F$12</c:f>
              <c:strCache>
                <c:ptCount val="8"/>
                <c:pt idx="0">
                  <c:v>Electronics Accessories - West</c:v>
                </c:pt>
                <c:pt idx="1">
                  <c:v>Electronics Accessories - Northeast</c:v>
                </c:pt>
                <c:pt idx="2">
                  <c:v>Outdoor &amp; Sporting - South</c:v>
                </c:pt>
                <c:pt idx="3">
                  <c:v>Outdoor &amp; Sporting - Midwest</c:v>
                </c:pt>
                <c:pt idx="4">
                  <c:v>Home &amp; Kitchen - Midwest</c:v>
                </c:pt>
                <c:pt idx="5">
                  <c:v>Personal Care - South</c:v>
                </c:pt>
                <c:pt idx="6">
                  <c:v>Office Supplies - West</c:v>
                </c:pt>
                <c:pt idx="7">
                  <c:v>Home &amp; Kitchen - Northeast</c:v>
                </c:pt>
              </c:strCache>
            </c:strRef>
          </c:cat>
          <c:val>
            <c:numRef>
              <c:f>'Top Variance Drivers'!$D$5:$D$12</c:f>
              <c:numCache>
                <c:formatCode>\$#,##0;"($"#,##0\);\-</c:formatCode>
                <c:ptCount val="8"/>
                <c:pt idx="0">
                  <c:v>-203255.551423786</c:v>
                </c:pt>
                <c:pt idx="1">
                  <c:v>-107797.794453674</c:v>
                </c:pt>
                <c:pt idx="2">
                  <c:v>-59198.8399759876</c:v>
                </c:pt>
                <c:pt idx="3">
                  <c:v>-30786.086010132</c:v>
                </c:pt>
                <c:pt idx="4">
                  <c:v>-18778.9273300418</c:v>
                </c:pt>
                <c:pt idx="5">
                  <c:v>-15643.5536286191</c:v>
                </c:pt>
                <c:pt idx="6">
                  <c:v>-13750.1924232277</c:v>
                </c:pt>
                <c:pt idx="7">
                  <c:v>-11395.1221526486</c:v>
                </c:pt>
              </c:numCache>
            </c:numRef>
          </c:val>
        </c:ser>
        <c:gapWidth val="150"/>
        <c:overlap val="0"/>
        <c:axId val="15911706"/>
        <c:axId val="29652874"/>
      </c:barChart>
      <c:catAx>
        <c:axId val="1591170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52874"/>
        <c:crosses val="autoZero"/>
        <c:auto val="1"/>
        <c:lblAlgn val="ctr"/>
        <c:lblOffset val="100"/>
        <c:noMultiLvlLbl val="0"/>
      </c:catAx>
      <c:valAx>
        <c:axId val="29652874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 - 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11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9</xdr:col>
      <xdr:colOff>93960</xdr:colOff>
      <xdr:row>57</xdr:row>
      <xdr:rowOff>1080</xdr:rowOff>
    </xdr:to>
    <xdr:graphicFrame>
      <xdr:nvGraphicFramePr>
        <xdr:cNvPr id="0" name="Chart 1"/>
        <xdr:cNvGraphicFramePr/>
      </xdr:nvGraphicFramePr>
      <xdr:xfrm>
        <a:off x="0" y="76294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176040</xdr:rowOff>
    </xdr:from>
    <xdr:to>
      <xdr:col>13</xdr:col>
      <xdr:colOff>363960</xdr:colOff>
      <xdr:row>21</xdr:row>
      <xdr:rowOff>155880</xdr:rowOff>
    </xdr:to>
    <xdr:graphicFrame>
      <xdr:nvGraphicFramePr>
        <xdr:cNvPr id="1" name="Chart 1"/>
        <xdr:cNvGraphicFramePr/>
      </xdr:nvGraphicFramePr>
      <xdr:xfrm>
        <a:off x="3430800" y="56664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473040</xdr:colOff>
      <xdr:row>21</xdr:row>
      <xdr:rowOff>170640</xdr:rowOff>
    </xdr:to>
    <xdr:graphicFrame>
      <xdr:nvGraphicFramePr>
        <xdr:cNvPr id="2" name="Chart 1"/>
        <xdr:cNvGraphicFramePr/>
      </xdr:nvGraphicFramePr>
      <xdr:xfrm>
        <a:off x="5804640" y="5810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/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6" min="16" style="1" width="14"/>
    <col collapsed="false" customWidth="true" hidden="false" outlineLevel="0" max="17" min="17" style="1" width="13"/>
    <col collapsed="false" customWidth="true" hidden="false" outlineLevel="0" max="18" min="18" style="1" width="14"/>
    <col collapsed="false" customWidth="true" hidden="false" outlineLevel="0" max="19" min="19" style="1" width="12"/>
    <col collapsed="false" customWidth="true" hidden="false" outlineLevel="0" max="20" min="20" style="1" width="14"/>
  </cols>
  <sheetData>
    <row r="1" customFormat="false" ht="23.2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</row>
    <row r="2" customFormat="false" ht="15" hidden="false" customHeight="true" outlineLevel="0" collapsed="false">
      <c r="A2" s="7" t="s">
        <v>41</v>
      </c>
      <c r="B2" s="7" t="s">
        <v>42</v>
      </c>
      <c r="C2" s="7" t="s">
        <v>43</v>
      </c>
      <c r="D2" s="8" t="n">
        <v>156793.46</v>
      </c>
      <c r="E2" s="9" t="n">
        <v>0.1</v>
      </c>
      <c r="F2" s="9" t="n">
        <v>0.62</v>
      </c>
      <c r="G2" s="10" t="n">
        <f aca="false">D2*(1-E2)</f>
        <v>141114.114</v>
      </c>
      <c r="H2" s="10" t="n">
        <f aca="false">G2*F2</f>
        <v>87490.75068</v>
      </c>
      <c r="I2" s="10" t="n">
        <f aca="false">G2-H2</f>
        <v>53623.36332</v>
      </c>
      <c r="J2" s="8" t="n">
        <v>153721.33</v>
      </c>
      <c r="K2" s="9" t="n">
        <v>0.1107</v>
      </c>
      <c r="L2" s="9" t="n">
        <v>0.6207</v>
      </c>
      <c r="M2" s="10" t="n">
        <f aca="false">J2*(1-K2)</f>
        <v>136704.378769</v>
      </c>
      <c r="N2" s="10" t="n">
        <f aca="false">M2*L2</f>
        <v>84852.4079019183</v>
      </c>
      <c r="O2" s="10" t="n">
        <f aca="false">M2-N2</f>
        <v>51851.9708670817</v>
      </c>
      <c r="P2" s="10" t="n">
        <f aca="false">O2-I2</f>
        <v>-1771.39245291831</v>
      </c>
      <c r="Q2" s="10" t="n">
        <f aca="false">(J2-D2)*(1-E2)*(1-F2)</f>
        <v>-1050.66846</v>
      </c>
      <c r="R2" s="10" t="n">
        <f aca="false">J2*(E2-K2)*(1-F2)</f>
        <v>-625.03092778</v>
      </c>
      <c r="S2" s="10" t="n">
        <f aca="false">M2*(F2-L2)</f>
        <v>-95.6930651383046</v>
      </c>
      <c r="T2" s="10" t="n">
        <f aca="false">ROUND(P2-(Q2+R2+S2),2)</f>
        <v>-0</v>
      </c>
    </row>
    <row r="3" customFormat="false" ht="15" hidden="false" customHeight="true" outlineLevel="0" collapsed="false">
      <c r="A3" s="7" t="s">
        <v>44</v>
      </c>
      <c r="B3" s="7" t="s">
        <v>42</v>
      </c>
      <c r="C3" s="7" t="s">
        <v>43</v>
      </c>
      <c r="D3" s="8" t="n">
        <v>154535.63</v>
      </c>
      <c r="E3" s="9" t="n">
        <v>0.1</v>
      </c>
      <c r="F3" s="9" t="n">
        <v>0.62</v>
      </c>
      <c r="G3" s="10" t="n">
        <f aca="false">D3*(1-E3)</f>
        <v>139082.067</v>
      </c>
      <c r="H3" s="10" t="n">
        <f aca="false">G3*F3</f>
        <v>86230.88154</v>
      </c>
      <c r="I3" s="10" t="n">
        <f aca="false">G3-H3</f>
        <v>52851.18546</v>
      </c>
      <c r="J3" s="8" t="n">
        <v>154921.35</v>
      </c>
      <c r="K3" s="9" t="n">
        <v>0.11</v>
      </c>
      <c r="L3" s="9" t="n">
        <v>0.6537</v>
      </c>
      <c r="M3" s="10" t="n">
        <f aca="false">J3*(1-K3)</f>
        <v>137880.0015</v>
      </c>
      <c r="N3" s="10" t="n">
        <f aca="false">M3*L3</f>
        <v>90132.15698055</v>
      </c>
      <c r="O3" s="10" t="n">
        <f aca="false">M3-N3</f>
        <v>47747.84451945</v>
      </c>
      <c r="P3" s="10" t="n">
        <f aca="false">O3-I3</f>
        <v>-5103.34094055</v>
      </c>
      <c r="Q3" s="10" t="n">
        <f aca="false">(J3-D3)*(1-E3)*(1-F3)</f>
        <v>131.91624</v>
      </c>
      <c r="R3" s="10" t="n">
        <f aca="false">J3*(E3-K3)*(1-F3)</f>
        <v>-588.70113</v>
      </c>
      <c r="S3" s="10" t="n">
        <f aca="false">M3*(F3-L3)</f>
        <v>-4646.55605054999</v>
      </c>
      <c r="T3" s="10" t="n">
        <f aca="false">ROUND(P3-(Q3+R3+S3),2)</f>
        <v>0</v>
      </c>
    </row>
    <row r="4" customFormat="false" ht="15" hidden="false" customHeight="true" outlineLevel="0" collapsed="false">
      <c r="A4" s="7" t="s">
        <v>45</v>
      </c>
      <c r="B4" s="7" t="s">
        <v>42</v>
      </c>
      <c r="C4" s="7" t="s">
        <v>43</v>
      </c>
      <c r="D4" s="8" t="n">
        <v>168152.27</v>
      </c>
      <c r="E4" s="9" t="n">
        <v>0.1</v>
      </c>
      <c r="F4" s="9" t="n">
        <v>0.62</v>
      </c>
      <c r="G4" s="10" t="n">
        <f aca="false">D4*(1-E4)</f>
        <v>151337.043</v>
      </c>
      <c r="H4" s="10" t="n">
        <f aca="false">G4*F4</f>
        <v>93828.96666</v>
      </c>
      <c r="I4" s="10" t="n">
        <f aca="false">G4-H4</f>
        <v>57508.07634</v>
      </c>
      <c r="J4" s="8" t="n">
        <v>166763.41</v>
      </c>
      <c r="K4" s="9" t="n">
        <v>0.104</v>
      </c>
      <c r="L4" s="9" t="n">
        <v>0.6318</v>
      </c>
      <c r="M4" s="10" t="n">
        <f aca="false">J4*(1-K4)</f>
        <v>149420.01536</v>
      </c>
      <c r="N4" s="10" t="n">
        <f aca="false">M4*L4</f>
        <v>94403.565704448</v>
      </c>
      <c r="O4" s="10" t="n">
        <f aca="false">M4-N4</f>
        <v>55016.449655552</v>
      </c>
      <c r="P4" s="10" t="n">
        <f aca="false">O4-I4</f>
        <v>-2491.626684448</v>
      </c>
      <c r="Q4" s="10" t="n">
        <f aca="false">(J4-D4)*(1-E4)*(1-F4)</f>
        <v>-474.990119999995</v>
      </c>
      <c r="R4" s="10" t="n">
        <f aca="false">J4*(E4-K4)*(1-F4)</f>
        <v>-253.480383199999</v>
      </c>
      <c r="S4" s="10" t="n">
        <f aca="false">M4*(F4-L4)</f>
        <v>-1763.15618124801</v>
      </c>
      <c r="T4" s="10" t="n">
        <f aca="false">ROUND(P4-(Q4+R4+S4),2)</f>
        <v>0</v>
      </c>
    </row>
    <row r="5" customFormat="false" ht="15" hidden="false" customHeight="true" outlineLevel="0" collapsed="false">
      <c r="A5" s="7" t="s">
        <v>46</v>
      </c>
      <c r="B5" s="7" t="s">
        <v>42</v>
      </c>
      <c r="C5" s="7" t="s">
        <v>43</v>
      </c>
      <c r="D5" s="8" t="n">
        <v>174828.19</v>
      </c>
      <c r="E5" s="9" t="n">
        <v>0.1</v>
      </c>
      <c r="F5" s="9" t="n">
        <v>0.62</v>
      </c>
      <c r="G5" s="10" t="n">
        <f aca="false">D5*(1-E5)</f>
        <v>157345.371</v>
      </c>
      <c r="H5" s="10" t="n">
        <f aca="false">G5*F5</f>
        <v>97554.13002</v>
      </c>
      <c r="I5" s="10" t="n">
        <f aca="false">G5-H5</f>
        <v>59791.24098</v>
      </c>
      <c r="J5" s="8" t="n">
        <v>173359.9</v>
      </c>
      <c r="K5" s="9" t="n">
        <v>0.0975</v>
      </c>
      <c r="L5" s="9" t="n">
        <v>0.6332</v>
      </c>
      <c r="M5" s="10" t="n">
        <f aca="false">J5*(1-K5)</f>
        <v>156457.30975</v>
      </c>
      <c r="N5" s="10" t="n">
        <f aca="false">M5*L5</f>
        <v>99068.7685337</v>
      </c>
      <c r="O5" s="10" t="n">
        <f aca="false">M5-N5</f>
        <v>57388.5412163</v>
      </c>
      <c r="P5" s="10" t="n">
        <f aca="false">O5-I5</f>
        <v>-2402.6997637</v>
      </c>
      <c r="Q5" s="10" t="n">
        <f aca="false">(J5-D5)*(1-E5)*(1-F5)</f>
        <v>-502.155180000003</v>
      </c>
      <c r="R5" s="10" t="n">
        <f aca="false">J5*(E5-K5)*(1-F5)</f>
        <v>164.691905</v>
      </c>
      <c r="S5" s="10" t="n">
        <f aca="false">M5*(F5-L5)</f>
        <v>-2065.2364887</v>
      </c>
      <c r="T5" s="10" t="n">
        <f aca="false">ROUND(P5-(Q5+R5+S5),2)</f>
        <v>0</v>
      </c>
    </row>
    <row r="6" customFormat="false" ht="15" hidden="false" customHeight="true" outlineLevel="0" collapsed="false">
      <c r="A6" s="7" t="s">
        <v>47</v>
      </c>
      <c r="B6" s="7" t="s">
        <v>42</v>
      </c>
      <c r="C6" s="7" t="s">
        <v>43</v>
      </c>
      <c r="D6" s="8" t="n">
        <v>179789.83</v>
      </c>
      <c r="E6" s="9" t="n">
        <v>0.1</v>
      </c>
      <c r="F6" s="9" t="n">
        <v>0.62</v>
      </c>
      <c r="G6" s="10" t="n">
        <f aca="false">D6*(1-E6)</f>
        <v>161810.847</v>
      </c>
      <c r="H6" s="10" t="n">
        <f aca="false">G6*F6</f>
        <v>100322.72514</v>
      </c>
      <c r="I6" s="10" t="n">
        <f aca="false">G6-H6</f>
        <v>61488.12186</v>
      </c>
      <c r="J6" s="8" t="n">
        <v>180352.71</v>
      </c>
      <c r="K6" s="9" t="n">
        <v>0.101</v>
      </c>
      <c r="L6" s="9" t="n">
        <v>0.6419</v>
      </c>
      <c r="M6" s="10" t="n">
        <f aca="false">J6*(1-K6)</f>
        <v>162137.08629</v>
      </c>
      <c r="N6" s="10" t="n">
        <f aca="false">M6*L6</f>
        <v>104075.795689551</v>
      </c>
      <c r="O6" s="10" t="n">
        <f aca="false">M6-N6</f>
        <v>58061.290600449</v>
      </c>
      <c r="P6" s="10" t="n">
        <f aca="false">O6-I6</f>
        <v>-3426.83125955101</v>
      </c>
      <c r="Q6" s="10" t="n">
        <f aca="false">(J6-D6)*(1-E6)*(1-F6)</f>
        <v>192.504960000002</v>
      </c>
      <c r="R6" s="10" t="n">
        <f aca="false">J6*(E6-K6)*(1-F6)</f>
        <v>-68.5340298000001</v>
      </c>
      <c r="S6" s="10" t="n">
        <f aca="false">M6*(F6-L6)</f>
        <v>-3550.80218975101</v>
      </c>
      <c r="T6" s="10" t="n">
        <f aca="false">ROUND(P6-(Q6+R6+S6),2)</f>
        <v>0</v>
      </c>
    </row>
    <row r="7" customFormat="false" ht="15" hidden="false" customHeight="true" outlineLevel="0" collapsed="false">
      <c r="A7" s="7" t="s">
        <v>48</v>
      </c>
      <c r="B7" s="7" t="s">
        <v>42</v>
      </c>
      <c r="C7" s="7" t="s">
        <v>43</v>
      </c>
      <c r="D7" s="8" t="n">
        <v>184807.22</v>
      </c>
      <c r="E7" s="9" t="n">
        <v>0.1</v>
      </c>
      <c r="F7" s="9" t="n">
        <v>0.62</v>
      </c>
      <c r="G7" s="10" t="n">
        <f aca="false">D7*(1-E7)</f>
        <v>166326.498</v>
      </c>
      <c r="H7" s="10" t="n">
        <f aca="false">G7*F7</f>
        <v>103122.42876</v>
      </c>
      <c r="I7" s="10" t="n">
        <f aca="false">G7-H7</f>
        <v>63204.06924</v>
      </c>
      <c r="J7" s="8" t="n">
        <v>182721.57</v>
      </c>
      <c r="K7" s="9" t="n">
        <v>0.0918</v>
      </c>
      <c r="L7" s="9" t="n">
        <v>0.6449</v>
      </c>
      <c r="M7" s="10" t="n">
        <f aca="false">J7*(1-K7)</f>
        <v>165947.729874</v>
      </c>
      <c r="N7" s="10" t="n">
        <f aca="false">M7*L7</f>
        <v>107019.690995743</v>
      </c>
      <c r="O7" s="10" t="n">
        <f aca="false">M7-N7</f>
        <v>58928.0388782574</v>
      </c>
      <c r="P7" s="10" t="n">
        <f aca="false">O7-I7</f>
        <v>-4276.0303617426</v>
      </c>
      <c r="Q7" s="10" t="n">
        <f aca="false">(J7-D7)*(1-E7)*(1-F7)</f>
        <v>-713.292299999998</v>
      </c>
      <c r="R7" s="10" t="n">
        <f aca="false">J7*(E7-K7)*(1-F7)</f>
        <v>569.36041212</v>
      </c>
      <c r="S7" s="10" t="n">
        <f aca="false">M7*(F7-L7)</f>
        <v>-4132.09847386261</v>
      </c>
      <c r="T7" s="10" t="n">
        <f aca="false">ROUND(P7-(Q7+R7+S7),2)</f>
        <v>0</v>
      </c>
    </row>
    <row r="8" customFormat="false" ht="15" hidden="false" customHeight="true" outlineLevel="0" collapsed="false">
      <c r="A8" s="7" t="s">
        <v>49</v>
      </c>
      <c r="B8" s="7" t="s">
        <v>42</v>
      </c>
      <c r="C8" s="7" t="s">
        <v>43</v>
      </c>
      <c r="D8" s="8" t="n">
        <v>182577.27</v>
      </c>
      <c r="E8" s="9" t="n">
        <v>0.1</v>
      </c>
      <c r="F8" s="9" t="n">
        <v>0.62</v>
      </c>
      <c r="G8" s="10" t="n">
        <f aca="false">D8*(1-E8)</f>
        <v>164319.543</v>
      </c>
      <c r="H8" s="10" t="n">
        <f aca="false">G8*F8</f>
        <v>101878.11666</v>
      </c>
      <c r="I8" s="10" t="n">
        <f aca="false">G8-H8</f>
        <v>62441.42634</v>
      </c>
      <c r="J8" s="8" t="n">
        <v>185287.84</v>
      </c>
      <c r="K8" s="9" t="n">
        <v>0.1176</v>
      </c>
      <c r="L8" s="9" t="n">
        <v>0.6378</v>
      </c>
      <c r="M8" s="10" t="n">
        <f aca="false">J8*(1-K8)</f>
        <v>163497.990016</v>
      </c>
      <c r="N8" s="10" t="n">
        <f aca="false">M8*L8</f>
        <v>104279.018032205</v>
      </c>
      <c r="O8" s="10" t="n">
        <f aca="false">M8-N8</f>
        <v>59218.9719837952</v>
      </c>
      <c r="P8" s="10" t="n">
        <f aca="false">O8-I8</f>
        <v>-3222.45435620481</v>
      </c>
      <c r="Q8" s="10" t="n">
        <f aca="false">(J8-D8)*(1-E8)*(1-F8)</f>
        <v>927.014940000002</v>
      </c>
      <c r="R8" s="10" t="n">
        <f aca="false">J8*(E8-K8)*(1-F8)</f>
        <v>-1239.20507392</v>
      </c>
      <c r="S8" s="10" t="n">
        <f aca="false">M8*(F8-L8)</f>
        <v>-2910.26422228481</v>
      </c>
      <c r="T8" s="10" t="n">
        <f aca="false">ROUND(P8-(Q8+R8+S8),2)</f>
        <v>0</v>
      </c>
    </row>
    <row r="9" customFormat="false" ht="15" hidden="false" customHeight="true" outlineLevel="0" collapsed="false">
      <c r="A9" s="7" t="s">
        <v>50</v>
      </c>
      <c r="B9" s="7" t="s">
        <v>42</v>
      </c>
      <c r="C9" s="7" t="s">
        <v>43</v>
      </c>
      <c r="D9" s="8" t="n">
        <v>189490.12</v>
      </c>
      <c r="E9" s="9" t="n">
        <v>0.1</v>
      </c>
      <c r="F9" s="9" t="n">
        <v>0.62</v>
      </c>
      <c r="G9" s="10" t="n">
        <f aca="false">D9*(1-E9)</f>
        <v>170541.108</v>
      </c>
      <c r="H9" s="10" t="n">
        <f aca="false">G9*F9</f>
        <v>105735.48696</v>
      </c>
      <c r="I9" s="10" t="n">
        <f aca="false">G9-H9</f>
        <v>64805.62104</v>
      </c>
      <c r="J9" s="8" t="n">
        <v>189026.88</v>
      </c>
      <c r="K9" s="9" t="n">
        <v>0.0984</v>
      </c>
      <c r="L9" s="9" t="n">
        <v>0.6357</v>
      </c>
      <c r="M9" s="10" t="n">
        <f aca="false">J9*(1-K9)</f>
        <v>170426.635008</v>
      </c>
      <c r="N9" s="10" t="n">
        <f aca="false">M9*L9</f>
        <v>108340.211874586</v>
      </c>
      <c r="O9" s="10" t="n">
        <f aca="false">M9-N9</f>
        <v>62086.4231334144</v>
      </c>
      <c r="P9" s="10" t="n">
        <f aca="false">O9-I9</f>
        <v>-2719.19790658561</v>
      </c>
      <c r="Q9" s="10" t="n">
        <f aca="false">(J9-D9)*(1-E9)*(1-F9)</f>
        <v>-158.428079999997</v>
      </c>
      <c r="R9" s="10" t="n">
        <f aca="false">J9*(E9-K9)*(1-F9)</f>
        <v>114.92834304</v>
      </c>
      <c r="S9" s="10" t="n">
        <f aca="false">M9*(F9-L9)</f>
        <v>-2675.69816962561</v>
      </c>
      <c r="T9" s="10" t="n">
        <f aca="false">ROUND(P9-(Q9+R9+S9),2)</f>
        <v>0</v>
      </c>
    </row>
    <row r="10" customFormat="false" ht="15" hidden="false" customHeight="true" outlineLevel="0" collapsed="false">
      <c r="A10" s="7" t="s">
        <v>51</v>
      </c>
      <c r="B10" s="7" t="s">
        <v>42</v>
      </c>
      <c r="C10" s="7" t="s">
        <v>43</v>
      </c>
      <c r="D10" s="8" t="n">
        <v>194632.94</v>
      </c>
      <c r="E10" s="9" t="n">
        <v>0.1</v>
      </c>
      <c r="F10" s="9" t="n">
        <v>0.62</v>
      </c>
      <c r="G10" s="10" t="n">
        <f aca="false">D10*(1-E10)</f>
        <v>175169.646</v>
      </c>
      <c r="H10" s="10" t="n">
        <f aca="false">G10*F10</f>
        <v>108605.18052</v>
      </c>
      <c r="I10" s="10" t="n">
        <f aca="false">G10-H10</f>
        <v>66564.46548</v>
      </c>
      <c r="J10" s="8" t="n">
        <v>200161.19</v>
      </c>
      <c r="K10" s="9" t="n">
        <v>0.1012</v>
      </c>
      <c r="L10" s="9" t="n">
        <v>0.6463</v>
      </c>
      <c r="M10" s="10" t="n">
        <f aca="false">J10*(1-K10)</f>
        <v>179904.877572</v>
      </c>
      <c r="N10" s="10" t="n">
        <f aca="false">M10*L10</f>
        <v>116272.522374784</v>
      </c>
      <c r="O10" s="10" t="n">
        <f aca="false">M10-N10</f>
        <v>63632.3551972164</v>
      </c>
      <c r="P10" s="10" t="n">
        <f aca="false">O10-I10</f>
        <v>-2932.1102827836</v>
      </c>
      <c r="Q10" s="10" t="n">
        <f aca="false">(J10-D10)*(1-E10)*(1-F10)</f>
        <v>1890.6615</v>
      </c>
      <c r="R10" s="10" t="n">
        <f aca="false">J10*(E10-K10)*(1-F10)</f>
        <v>-91.2735026399995</v>
      </c>
      <c r="S10" s="10" t="n">
        <f aca="false">M10*(F10-L10)</f>
        <v>-4731.4982801436</v>
      </c>
      <c r="T10" s="10" t="n">
        <f aca="false">ROUND(P10-(Q10+R10+S10),2)</f>
        <v>0</v>
      </c>
    </row>
    <row r="11" customFormat="false" ht="15" hidden="false" customHeight="true" outlineLevel="0" collapsed="false">
      <c r="A11" s="7" t="s">
        <v>52</v>
      </c>
      <c r="B11" s="7" t="s">
        <v>42</v>
      </c>
      <c r="C11" s="7" t="s">
        <v>43</v>
      </c>
      <c r="D11" s="8" t="n">
        <v>205434.27</v>
      </c>
      <c r="E11" s="9" t="n">
        <v>0.1</v>
      </c>
      <c r="F11" s="9" t="n">
        <v>0.62</v>
      </c>
      <c r="G11" s="10" t="n">
        <f aca="false">D11*(1-E11)</f>
        <v>184890.843</v>
      </c>
      <c r="H11" s="10" t="n">
        <f aca="false">G11*F11</f>
        <v>114632.32266</v>
      </c>
      <c r="I11" s="10" t="n">
        <f aca="false">G11-H11</f>
        <v>70258.52034</v>
      </c>
      <c r="J11" s="8" t="n">
        <v>198685.42</v>
      </c>
      <c r="K11" s="9" t="n">
        <v>0.0951</v>
      </c>
      <c r="L11" s="9" t="n">
        <v>0.6553</v>
      </c>
      <c r="M11" s="10" t="n">
        <f aca="false">J11*(1-K11)</f>
        <v>179790.436558</v>
      </c>
      <c r="N11" s="10" t="n">
        <f aca="false">M11*L11</f>
        <v>117816.673076457</v>
      </c>
      <c r="O11" s="10" t="n">
        <f aca="false">M11-N11</f>
        <v>61973.7634815426</v>
      </c>
      <c r="P11" s="10" t="n">
        <f aca="false">O11-I11</f>
        <v>-8284.75685845739</v>
      </c>
      <c r="Q11" s="10" t="n">
        <f aca="false">(J11-D11)*(1-E11)*(1-F11)</f>
        <v>-2308.10669999999</v>
      </c>
      <c r="R11" s="10" t="n">
        <f aca="false">J11*(E11-K11)*(1-F11)</f>
        <v>369.95225204</v>
      </c>
      <c r="S11" s="10" t="n">
        <f aca="false">M11*(F11-L11)</f>
        <v>-6346.6024104974</v>
      </c>
      <c r="T11" s="10" t="n">
        <f aca="false">ROUND(P11-(Q11+R11+S11),2)</f>
        <v>0</v>
      </c>
    </row>
    <row r="12" customFormat="false" ht="15" hidden="false" customHeight="true" outlineLevel="0" collapsed="false">
      <c r="A12" s="7" t="s">
        <v>53</v>
      </c>
      <c r="B12" s="7" t="s">
        <v>42</v>
      </c>
      <c r="C12" s="7" t="s">
        <v>43</v>
      </c>
      <c r="D12" s="8" t="n">
        <v>244597.79</v>
      </c>
      <c r="E12" s="9" t="n">
        <v>0.1</v>
      </c>
      <c r="F12" s="9" t="n">
        <v>0.62</v>
      </c>
      <c r="G12" s="10" t="n">
        <f aca="false">D12*(1-E12)</f>
        <v>220138.011</v>
      </c>
      <c r="H12" s="10" t="n">
        <f aca="false">G12*F12</f>
        <v>136485.56682</v>
      </c>
      <c r="I12" s="10" t="n">
        <f aca="false">G12-H12</f>
        <v>83652.44418</v>
      </c>
      <c r="J12" s="8" t="n">
        <v>240186.96</v>
      </c>
      <c r="K12" s="9" t="n">
        <v>0.0973</v>
      </c>
      <c r="L12" s="9" t="n">
        <v>0.6565</v>
      </c>
      <c r="M12" s="10" t="n">
        <f aca="false">J12*(1-K12)</f>
        <v>216816.768792</v>
      </c>
      <c r="N12" s="10" t="n">
        <f aca="false">M12*L12</f>
        <v>142340.208711948</v>
      </c>
      <c r="O12" s="10" t="n">
        <f aca="false">M12-N12</f>
        <v>74476.560080052</v>
      </c>
      <c r="P12" s="10" t="n">
        <f aca="false">O12-I12</f>
        <v>-9175.88409994799</v>
      </c>
      <c r="Q12" s="10" t="n">
        <f aca="false">(J12-D12)*(1-E12)*(1-F12)</f>
        <v>-1508.50386000001</v>
      </c>
      <c r="R12" s="10" t="n">
        <f aca="false">J12*(E12-K12)*(1-F12)</f>
        <v>246.431820960001</v>
      </c>
      <c r="S12" s="10" t="n">
        <f aca="false">M12*(F12-L12)</f>
        <v>-7913.812060908</v>
      </c>
      <c r="T12" s="10" t="n">
        <f aca="false">ROUND(P12-(Q12+R12+S12),2)</f>
        <v>0</v>
      </c>
    </row>
    <row r="13" customFormat="false" ht="15" hidden="false" customHeight="true" outlineLevel="0" collapsed="false">
      <c r="A13" s="7" t="s">
        <v>54</v>
      </c>
      <c r="B13" s="7" t="s">
        <v>42</v>
      </c>
      <c r="C13" s="7" t="s">
        <v>43</v>
      </c>
      <c r="D13" s="8" t="n">
        <v>231245.96</v>
      </c>
      <c r="E13" s="9" t="n">
        <v>0.1</v>
      </c>
      <c r="F13" s="9" t="n">
        <v>0.62</v>
      </c>
      <c r="G13" s="10" t="n">
        <f aca="false">D13*(1-E13)</f>
        <v>208121.364</v>
      </c>
      <c r="H13" s="10" t="n">
        <f aca="false">G13*F13</f>
        <v>129035.24568</v>
      </c>
      <c r="I13" s="10" t="n">
        <f aca="false">G13-H13</f>
        <v>79086.11832</v>
      </c>
      <c r="J13" s="8" t="n">
        <v>221347.67</v>
      </c>
      <c r="K13" s="9" t="n">
        <v>0.1032</v>
      </c>
      <c r="L13" s="9" t="n">
        <v>0.6591</v>
      </c>
      <c r="M13" s="10" t="n">
        <f aca="false">J13*(1-K13)</f>
        <v>198504.590456</v>
      </c>
      <c r="N13" s="10" t="n">
        <f aca="false">M13*L13</f>
        <v>130834.37556955</v>
      </c>
      <c r="O13" s="10" t="n">
        <f aca="false">M13-N13</f>
        <v>67670.2148864504</v>
      </c>
      <c r="P13" s="10" t="n">
        <f aca="false">O13-I13</f>
        <v>-11415.9034335496</v>
      </c>
      <c r="Q13" s="10" t="n">
        <f aca="false">(J13-D13)*(1-E13)*(1-F13)</f>
        <v>-3385.21517999999</v>
      </c>
      <c r="R13" s="10" t="n">
        <f aca="false">J13*(E13-K13)*(1-F13)</f>
        <v>-269.15876672</v>
      </c>
      <c r="S13" s="10" t="n">
        <f aca="false">M13*(F13-L13)</f>
        <v>-7761.52948682961</v>
      </c>
      <c r="T13" s="10" t="n">
        <f aca="false">ROUND(P13-(Q13+R13+S13),2)</f>
        <v>0</v>
      </c>
    </row>
    <row r="14" customFormat="false" ht="15" hidden="false" customHeight="true" outlineLevel="0" collapsed="false">
      <c r="A14" s="7" t="s">
        <v>55</v>
      </c>
      <c r="B14" s="7" t="s">
        <v>42</v>
      </c>
      <c r="C14" s="7" t="s">
        <v>43</v>
      </c>
      <c r="D14" s="8" t="n">
        <v>171845.63</v>
      </c>
      <c r="E14" s="9" t="n">
        <v>0.1</v>
      </c>
      <c r="F14" s="9" t="n">
        <v>0.62</v>
      </c>
      <c r="G14" s="10" t="n">
        <f aca="false">D14*(1-E14)</f>
        <v>154661.067</v>
      </c>
      <c r="H14" s="10" t="n">
        <f aca="false">G14*F14</f>
        <v>95889.86154</v>
      </c>
      <c r="I14" s="10" t="n">
        <f aca="false">G14-H14</f>
        <v>58771.20546</v>
      </c>
      <c r="J14" s="8" t="n">
        <v>157496.85</v>
      </c>
      <c r="K14" s="9" t="n">
        <v>0.1105</v>
      </c>
      <c r="L14" s="9" t="n">
        <v>0.6377</v>
      </c>
      <c r="M14" s="10" t="n">
        <f aca="false">J14*(1-K14)</f>
        <v>140093.448075</v>
      </c>
      <c r="N14" s="10" t="n">
        <f aca="false">M14*L14</f>
        <v>89337.5918374275</v>
      </c>
      <c r="O14" s="10" t="n">
        <f aca="false">M14-N14</f>
        <v>50755.8562375725</v>
      </c>
      <c r="P14" s="10" t="n">
        <f aca="false">O14-I14</f>
        <v>-8015.34922242751</v>
      </c>
      <c r="Q14" s="10" t="n">
        <f aca="false">(J14-D14)*(1-E14)*(1-F14)</f>
        <v>-4907.28276</v>
      </c>
      <c r="R14" s="10" t="n">
        <f aca="false">J14*(E14-K14)*(1-F14)</f>
        <v>-628.4124315</v>
      </c>
      <c r="S14" s="10" t="n">
        <f aca="false">M14*(F14-L14)</f>
        <v>-2479.65403092751</v>
      </c>
      <c r="T14" s="10" t="n">
        <f aca="false">ROUND(P14-(Q14+R14+S14),2)</f>
        <v>0</v>
      </c>
    </row>
    <row r="15" customFormat="false" ht="15" hidden="false" customHeight="true" outlineLevel="0" collapsed="false">
      <c r="A15" s="7" t="s">
        <v>56</v>
      </c>
      <c r="B15" s="7" t="s">
        <v>42</v>
      </c>
      <c r="C15" s="7" t="s">
        <v>43</v>
      </c>
      <c r="D15" s="8" t="n">
        <v>169253.31</v>
      </c>
      <c r="E15" s="9" t="n">
        <v>0.1</v>
      </c>
      <c r="F15" s="9" t="n">
        <v>0.62</v>
      </c>
      <c r="G15" s="10" t="n">
        <f aca="false">D15*(1-E15)</f>
        <v>152327.979</v>
      </c>
      <c r="H15" s="10" t="n">
        <f aca="false">G15*F15</f>
        <v>94443.34698</v>
      </c>
      <c r="I15" s="10" t="n">
        <f aca="false">G15-H15</f>
        <v>57884.63202</v>
      </c>
      <c r="J15" s="8" t="n">
        <v>150360.41</v>
      </c>
      <c r="K15" s="9" t="n">
        <v>0.1214</v>
      </c>
      <c r="L15" s="9" t="n">
        <v>0.6419</v>
      </c>
      <c r="M15" s="10" t="n">
        <f aca="false">J15*(1-K15)</f>
        <v>132106.656226</v>
      </c>
      <c r="N15" s="10" t="n">
        <f aca="false">M15*L15</f>
        <v>84799.2626314694</v>
      </c>
      <c r="O15" s="10" t="n">
        <f aca="false">M15-N15</f>
        <v>47307.3935945306</v>
      </c>
      <c r="P15" s="10" t="n">
        <f aca="false">O15-I15</f>
        <v>-10577.2384254694</v>
      </c>
      <c r="Q15" s="10" t="n">
        <f aca="false">(J15-D15)*(1-E15)*(1-F15)</f>
        <v>-6461.3718</v>
      </c>
      <c r="R15" s="10" t="n">
        <f aca="false">J15*(E15-K15)*(1-F15)</f>
        <v>-1222.73085412</v>
      </c>
      <c r="S15" s="10" t="n">
        <f aca="false">M15*(F15-L15)</f>
        <v>-2893.1357713494</v>
      </c>
      <c r="T15" s="10" t="n">
        <f aca="false">ROUND(P15-(Q15+R15+S15),2)</f>
        <v>0</v>
      </c>
    </row>
    <row r="16" customFormat="false" ht="15" hidden="false" customHeight="true" outlineLevel="0" collapsed="false">
      <c r="A16" s="7" t="s">
        <v>57</v>
      </c>
      <c r="B16" s="7" t="s">
        <v>42</v>
      </c>
      <c r="C16" s="7" t="s">
        <v>43</v>
      </c>
      <c r="D16" s="8" t="n">
        <v>184040.68</v>
      </c>
      <c r="E16" s="9" t="n">
        <v>0.1</v>
      </c>
      <c r="F16" s="9" t="n">
        <v>0.62</v>
      </c>
      <c r="G16" s="10" t="n">
        <f aca="false">D16*(1-E16)</f>
        <v>165636.612</v>
      </c>
      <c r="H16" s="10" t="n">
        <f aca="false">G16*F16</f>
        <v>102694.69944</v>
      </c>
      <c r="I16" s="10" t="n">
        <f aca="false">G16-H16</f>
        <v>62941.91256</v>
      </c>
      <c r="J16" s="8" t="n">
        <v>184593.9</v>
      </c>
      <c r="K16" s="9" t="n">
        <v>0.0965</v>
      </c>
      <c r="L16" s="9" t="n">
        <v>0.6564</v>
      </c>
      <c r="M16" s="10" t="n">
        <f aca="false">J16*(1-K16)</f>
        <v>166780.58865</v>
      </c>
      <c r="N16" s="10" t="n">
        <f aca="false">M16*L16</f>
        <v>109474.77838986</v>
      </c>
      <c r="O16" s="10" t="n">
        <f aca="false">M16-N16</f>
        <v>57305.81026014</v>
      </c>
      <c r="P16" s="10" t="n">
        <f aca="false">O16-I16</f>
        <v>-5636.10229986</v>
      </c>
      <c r="Q16" s="10" t="n">
        <f aca="false">(J16-D16)*(1-E16)*(1-F16)</f>
        <v>189.20124</v>
      </c>
      <c r="R16" s="10" t="n">
        <f aca="false">J16*(E16-K16)*(1-F16)</f>
        <v>245.509887</v>
      </c>
      <c r="S16" s="10" t="n">
        <f aca="false">M16*(F16-L16)</f>
        <v>-6070.81342686</v>
      </c>
      <c r="T16" s="10" t="n">
        <f aca="false">ROUND(P16-(Q16+R16+S16),2)</f>
        <v>0</v>
      </c>
    </row>
    <row r="17" customFormat="false" ht="15" hidden="false" customHeight="true" outlineLevel="0" collapsed="false">
      <c r="A17" s="7" t="s">
        <v>58</v>
      </c>
      <c r="B17" s="7" t="s">
        <v>42</v>
      </c>
      <c r="C17" s="7" t="s">
        <v>43</v>
      </c>
      <c r="D17" s="8" t="n">
        <v>191218.33</v>
      </c>
      <c r="E17" s="9" t="n">
        <v>0.1</v>
      </c>
      <c r="F17" s="9" t="n">
        <v>0.62</v>
      </c>
      <c r="G17" s="10" t="n">
        <f aca="false">D17*(1-E17)</f>
        <v>172096.497</v>
      </c>
      <c r="H17" s="10" t="n">
        <f aca="false">G17*F17</f>
        <v>106699.82814</v>
      </c>
      <c r="I17" s="10" t="n">
        <f aca="false">G17-H17</f>
        <v>65396.66886</v>
      </c>
      <c r="J17" s="8" t="n">
        <v>183277.9</v>
      </c>
      <c r="K17" s="9" t="n">
        <v>0.0972</v>
      </c>
      <c r="L17" s="9" t="n">
        <v>0.6335</v>
      </c>
      <c r="M17" s="10" t="n">
        <f aca="false">J17*(1-K17)</f>
        <v>165463.28812</v>
      </c>
      <c r="N17" s="10" t="n">
        <f aca="false">M17*L17</f>
        <v>104820.99302402</v>
      </c>
      <c r="O17" s="10" t="n">
        <f aca="false">M17-N17</f>
        <v>60642.29509598</v>
      </c>
      <c r="P17" s="10" t="n">
        <f aca="false">O17-I17</f>
        <v>-4754.37376402</v>
      </c>
      <c r="Q17" s="10" t="n">
        <f aca="false">(J17-D17)*(1-E17)*(1-F17)</f>
        <v>-2715.62706</v>
      </c>
      <c r="R17" s="10" t="n">
        <f aca="false">J17*(E17-K17)*(1-F17)</f>
        <v>195.007685600001</v>
      </c>
      <c r="S17" s="10" t="n">
        <f aca="false">M17*(F17-L17)</f>
        <v>-2233.75438961999</v>
      </c>
      <c r="T17" s="10" t="n">
        <f aca="false">ROUND(P17-(Q17+R17+S17),2)</f>
        <v>0</v>
      </c>
    </row>
    <row r="18" customFormat="false" ht="15" hidden="false" customHeight="true" outlineLevel="0" collapsed="false">
      <c r="A18" s="7" t="s">
        <v>59</v>
      </c>
      <c r="B18" s="7" t="s">
        <v>42</v>
      </c>
      <c r="C18" s="7" t="s">
        <v>43</v>
      </c>
      <c r="D18" s="8" t="n">
        <v>196514.47</v>
      </c>
      <c r="E18" s="9" t="n">
        <v>0.1</v>
      </c>
      <c r="F18" s="9" t="n">
        <v>0.62</v>
      </c>
      <c r="G18" s="10" t="n">
        <f aca="false">D18*(1-E18)</f>
        <v>176863.023</v>
      </c>
      <c r="H18" s="10" t="n">
        <f aca="false">G18*F18</f>
        <v>109655.07426</v>
      </c>
      <c r="I18" s="10" t="n">
        <f aca="false">G18-H18</f>
        <v>67207.94874</v>
      </c>
      <c r="J18" s="8" t="n">
        <v>189094.7</v>
      </c>
      <c r="K18" s="9" t="n">
        <v>0.099</v>
      </c>
      <c r="L18" s="9" t="n">
        <v>0.6278</v>
      </c>
      <c r="M18" s="10" t="n">
        <f aca="false">J18*(1-K18)</f>
        <v>170374.3247</v>
      </c>
      <c r="N18" s="10" t="n">
        <f aca="false">M18*L18</f>
        <v>106961.00104666</v>
      </c>
      <c r="O18" s="10" t="n">
        <f aca="false">M18-N18</f>
        <v>63413.32365334</v>
      </c>
      <c r="P18" s="10" t="n">
        <f aca="false">O18-I18</f>
        <v>-3794.62508666</v>
      </c>
      <c r="Q18" s="10" t="n">
        <f aca="false">(J18-D18)*(1-E18)*(1-F18)</f>
        <v>-2537.56134</v>
      </c>
      <c r="R18" s="10" t="n">
        <f aca="false">J18*(E18-K18)*(1-F18)</f>
        <v>71.8559860000001</v>
      </c>
      <c r="S18" s="10" t="n">
        <f aca="false">M18*(F18-L18)</f>
        <v>-1328.91973266001</v>
      </c>
      <c r="T18" s="10" t="n">
        <f aca="false">ROUND(P18-(Q18+R18+S18),2)</f>
        <v>0</v>
      </c>
    </row>
    <row r="19" customFormat="false" ht="15" hidden="false" customHeight="true" outlineLevel="0" collapsed="false">
      <c r="A19" s="7" t="s">
        <v>60</v>
      </c>
      <c r="B19" s="7" t="s">
        <v>42</v>
      </c>
      <c r="C19" s="7" t="s">
        <v>43</v>
      </c>
      <c r="D19" s="8" t="n">
        <v>201866.35</v>
      </c>
      <c r="E19" s="9" t="n">
        <v>0.1</v>
      </c>
      <c r="F19" s="9" t="n">
        <v>0.62</v>
      </c>
      <c r="G19" s="10" t="n">
        <f aca="false">D19*(1-E19)</f>
        <v>181679.715</v>
      </c>
      <c r="H19" s="10" t="n">
        <f aca="false">G19*F19</f>
        <v>112641.4233</v>
      </c>
      <c r="I19" s="10" t="n">
        <f aca="false">G19-H19</f>
        <v>69038.2917</v>
      </c>
      <c r="J19" s="8" t="n">
        <v>196005.02</v>
      </c>
      <c r="K19" s="9" t="n">
        <v>0.0681</v>
      </c>
      <c r="L19" s="9" t="n">
        <v>0.6489</v>
      </c>
      <c r="M19" s="10" t="n">
        <f aca="false">J19*(1-K19)</f>
        <v>182657.078138</v>
      </c>
      <c r="N19" s="10" t="n">
        <f aca="false">M19*L19</f>
        <v>118526.178003748</v>
      </c>
      <c r="O19" s="10" t="n">
        <f aca="false">M19-N19</f>
        <v>64130.9001342518</v>
      </c>
      <c r="P19" s="10" t="n">
        <f aca="false">O19-I19</f>
        <v>-4907.39156574821</v>
      </c>
      <c r="Q19" s="10" t="n">
        <f aca="false">(J19-D19)*(1-E19)*(1-F19)</f>
        <v>-2004.57486000001</v>
      </c>
      <c r="R19" s="10" t="n">
        <f aca="false">J19*(E19-K19)*(1-F19)</f>
        <v>2375.97285244</v>
      </c>
      <c r="S19" s="10" t="n">
        <f aca="false">M19*(F19-L19)</f>
        <v>-5278.78955818821</v>
      </c>
      <c r="T19" s="10" t="n">
        <f aca="false">ROUND(P19-(Q19+R19+S19),2)</f>
        <v>0</v>
      </c>
    </row>
    <row r="20" customFormat="false" ht="15" hidden="false" customHeight="true" outlineLevel="0" collapsed="false">
      <c r="A20" s="7" t="s">
        <v>61</v>
      </c>
      <c r="B20" s="7" t="s">
        <v>42</v>
      </c>
      <c r="C20" s="7" t="s">
        <v>43</v>
      </c>
      <c r="D20" s="8" t="n">
        <v>199301.91</v>
      </c>
      <c r="E20" s="9" t="n">
        <v>0.1</v>
      </c>
      <c r="F20" s="9" t="n">
        <v>0.62</v>
      </c>
      <c r="G20" s="10" t="n">
        <f aca="false">D20*(1-E20)</f>
        <v>179371.719</v>
      </c>
      <c r="H20" s="10" t="n">
        <f aca="false">G20*F20</f>
        <v>111210.46578</v>
      </c>
      <c r="I20" s="10" t="n">
        <f aca="false">G20-H20</f>
        <v>68161.25322</v>
      </c>
      <c r="J20" s="8" t="n">
        <v>203464.57</v>
      </c>
      <c r="K20" s="9" t="n">
        <v>0.0909</v>
      </c>
      <c r="L20" s="9" t="n">
        <v>0.6512</v>
      </c>
      <c r="M20" s="10" t="n">
        <f aca="false">J20*(1-K20)</f>
        <v>184969.640587</v>
      </c>
      <c r="N20" s="10" t="n">
        <f aca="false">M20*L20</f>
        <v>120452.229950254</v>
      </c>
      <c r="O20" s="10" t="n">
        <f aca="false">M20-N20</f>
        <v>64517.4106367456</v>
      </c>
      <c r="P20" s="10" t="n">
        <f aca="false">O20-I20</f>
        <v>-3643.8425832544</v>
      </c>
      <c r="Q20" s="10" t="n">
        <f aca="false">(J20-D20)*(1-E20)*(1-F20)</f>
        <v>1423.62972</v>
      </c>
      <c r="R20" s="10" t="n">
        <f aca="false">J20*(E20-K20)*(1-F20)</f>
        <v>703.580483060001</v>
      </c>
      <c r="S20" s="10" t="n">
        <f aca="false">M20*(F20-L20)</f>
        <v>-5771.0527863144</v>
      </c>
      <c r="T20" s="10" t="n">
        <f aca="false">ROUND(P20-(Q20+R20+S20),2)</f>
        <v>0</v>
      </c>
    </row>
    <row r="21" customFormat="false" ht="15" hidden="false" customHeight="true" outlineLevel="0" collapsed="false">
      <c r="A21" s="7" t="s">
        <v>62</v>
      </c>
      <c r="B21" s="7" t="s">
        <v>42</v>
      </c>
      <c r="C21" s="7" t="s">
        <v>43</v>
      </c>
      <c r="D21" s="8" t="n">
        <v>206716.49</v>
      </c>
      <c r="E21" s="9" t="n">
        <v>0.1</v>
      </c>
      <c r="F21" s="9" t="n">
        <v>0.62</v>
      </c>
      <c r="G21" s="10" t="n">
        <f aca="false">D21*(1-E21)</f>
        <v>186044.841</v>
      </c>
      <c r="H21" s="10" t="n">
        <f aca="false">G21*F21</f>
        <v>115347.80142</v>
      </c>
      <c r="I21" s="10" t="n">
        <f aca="false">G21-H21</f>
        <v>70697.03958</v>
      </c>
      <c r="J21" s="8" t="n">
        <v>212585.26</v>
      </c>
      <c r="K21" s="9" t="n">
        <v>0.0873</v>
      </c>
      <c r="L21" s="9" t="n">
        <v>0.6477</v>
      </c>
      <c r="M21" s="10" t="n">
        <f aca="false">J21*(1-K21)</f>
        <v>194026.566802</v>
      </c>
      <c r="N21" s="10" t="n">
        <f aca="false">M21*L21</f>
        <v>125671.007317655</v>
      </c>
      <c r="O21" s="10" t="n">
        <f aca="false">M21-N21</f>
        <v>68355.5594843446</v>
      </c>
      <c r="P21" s="10" t="n">
        <f aca="false">O21-I21</f>
        <v>-2341.48009565541</v>
      </c>
      <c r="Q21" s="10" t="n">
        <f aca="false">(J21-D21)*(1-E21)*(1-F21)</f>
        <v>2007.11934000001</v>
      </c>
      <c r="R21" s="10" t="n">
        <f aca="false">J21*(E21-K21)*(1-F21)</f>
        <v>1025.93646476</v>
      </c>
      <c r="S21" s="10" t="n">
        <f aca="false">M21*(F21-L21)</f>
        <v>-5374.53590041541</v>
      </c>
      <c r="T21" s="10" t="n">
        <f aca="false">ROUND(P21-(Q21+R21+S21),2)</f>
        <v>0</v>
      </c>
    </row>
    <row r="22" customFormat="false" ht="15" hidden="false" customHeight="true" outlineLevel="0" collapsed="false">
      <c r="A22" s="7" t="s">
        <v>63</v>
      </c>
      <c r="B22" s="7" t="s">
        <v>42</v>
      </c>
      <c r="C22" s="7" t="s">
        <v>43</v>
      </c>
      <c r="D22" s="8" t="n">
        <v>212193.81</v>
      </c>
      <c r="E22" s="9" t="n">
        <v>0.1</v>
      </c>
      <c r="F22" s="9" t="n">
        <v>0.62</v>
      </c>
      <c r="G22" s="10" t="n">
        <f aca="false">D22*(1-E22)</f>
        <v>190974.429</v>
      </c>
      <c r="H22" s="10" t="n">
        <f aca="false">G22*F22</f>
        <v>118404.14598</v>
      </c>
      <c r="I22" s="10" t="n">
        <f aca="false">G22-H22</f>
        <v>72570.28302</v>
      </c>
      <c r="J22" s="8" t="n">
        <v>219472.24</v>
      </c>
      <c r="K22" s="9" t="n">
        <v>0.1036</v>
      </c>
      <c r="L22" s="9" t="n">
        <v>0.65</v>
      </c>
      <c r="M22" s="10" t="n">
        <f aca="false">J22*(1-K22)</f>
        <v>196734.915936</v>
      </c>
      <c r="N22" s="10" t="n">
        <f aca="false">M22*L22</f>
        <v>127877.6953584</v>
      </c>
      <c r="O22" s="10" t="n">
        <f aca="false">M22-N22</f>
        <v>68857.2205776</v>
      </c>
      <c r="P22" s="10" t="n">
        <f aca="false">O22-I22</f>
        <v>-3713.06244240001</v>
      </c>
      <c r="Q22" s="10" t="n">
        <f aca="false">(J22-D22)*(1-E22)*(1-F22)</f>
        <v>2489.22306</v>
      </c>
      <c r="R22" s="10" t="n">
        <f aca="false">J22*(E22-K22)*(1-F22)</f>
        <v>-300.238024319999</v>
      </c>
      <c r="S22" s="10" t="n">
        <f aca="false">M22*(F22-L22)</f>
        <v>-5902.04747808</v>
      </c>
      <c r="T22" s="10" t="n">
        <f aca="false">ROUND(P22-(Q22+R22+S22),2)</f>
        <v>0</v>
      </c>
    </row>
    <row r="23" customFormat="false" ht="15" hidden="false" customHeight="true" outlineLevel="0" collapsed="false">
      <c r="A23" s="7" t="s">
        <v>64</v>
      </c>
      <c r="B23" s="7" t="s">
        <v>42</v>
      </c>
      <c r="C23" s="7" t="s">
        <v>43</v>
      </c>
      <c r="D23" s="8" t="n">
        <v>223831.37</v>
      </c>
      <c r="E23" s="9" t="n">
        <v>0.1</v>
      </c>
      <c r="F23" s="9" t="n">
        <v>0.62</v>
      </c>
      <c r="G23" s="10" t="n">
        <f aca="false">D23*(1-E23)</f>
        <v>201448.233</v>
      </c>
      <c r="H23" s="10" t="n">
        <f aca="false">G23*F23</f>
        <v>124897.90446</v>
      </c>
      <c r="I23" s="10" t="n">
        <f aca="false">G23-H23</f>
        <v>76550.32854</v>
      </c>
      <c r="J23" s="8" t="n">
        <v>234181.29</v>
      </c>
      <c r="K23" s="9" t="n">
        <v>0.1077</v>
      </c>
      <c r="L23" s="9" t="n">
        <v>0.6475</v>
      </c>
      <c r="M23" s="10" t="n">
        <f aca="false">J23*(1-K23)</f>
        <v>208959.965067</v>
      </c>
      <c r="N23" s="10" t="n">
        <f aca="false">M23*L23</f>
        <v>135301.577380883</v>
      </c>
      <c r="O23" s="10" t="n">
        <f aca="false">M23-N23</f>
        <v>73658.3876861175</v>
      </c>
      <c r="P23" s="10" t="n">
        <f aca="false">O23-I23</f>
        <v>-2891.94085388248</v>
      </c>
      <c r="Q23" s="10" t="n">
        <f aca="false">(J23-D23)*(1-E23)*(1-F23)</f>
        <v>3539.67264000001</v>
      </c>
      <c r="R23" s="10" t="n">
        <f aca="false">J23*(E23-K23)*(1-F23)</f>
        <v>-685.21445454</v>
      </c>
      <c r="S23" s="10" t="n">
        <f aca="false">M23*(F23-L23)</f>
        <v>-5746.39903934249</v>
      </c>
      <c r="T23" s="10" t="n">
        <f aca="false">ROUND(P23-(Q23+R23+S23),2)</f>
        <v>0</v>
      </c>
    </row>
    <row r="24" customFormat="false" ht="15" hidden="false" customHeight="true" outlineLevel="0" collapsed="false">
      <c r="A24" s="7" t="s">
        <v>65</v>
      </c>
      <c r="B24" s="7" t="s">
        <v>42</v>
      </c>
      <c r="C24" s="7" t="s">
        <v>43</v>
      </c>
      <c r="D24" s="8" t="n">
        <v>266339.82</v>
      </c>
      <c r="E24" s="9" t="n">
        <v>0.1</v>
      </c>
      <c r="F24" s="9" t="n">
        <v>0.62</v>
      </c>
      <c r="G24" s="10" t="n">
        <f aca="false">D24*(1-E24)</f>
        <v>239705.838</v>
      </c>
      <c r="H24" s="10" t="n">
        <f aca="false">G24*F24</f>
        <v>148617.61956</v>
      </c>
      <c r="I24" s="10" t="n">
        <f aca="false">G24-H24</f>
        <v>91088.21844</v>
      </c>
      <c r="J24" s="8" t="n">
        <v>306058.03</v>
      </c>
      <c r="K24" s="9" t="n">
        <v>0.0932</v>
      </c>
      <c r="L24" s="9" t="n">
        <v>0.6514</v>
      </c>
      <c r="M24" s="10" t="n">
        <f aca="false">J24*(1-K24)</f>
        <v>277533.421604</v>
      </c>
      <c r="N24" s="10" t="n">
        <f aca="false">M24*L24</f>
        <v>180785.270832846</v>
      </c>
      <c r="O24" s="10" t="n">
        <f aca="false">M24-N24</f>
        <v>96748.1507711544</v>
      </c>
      <c r="P24" s="10" t="n">
        <f aca="false">O24-I24</f>
        <v>5659.93233115441</v>
      </c>
      <c r="Q24" s="10" t="n">
        <f aca="false">(J24-D24)*(1-E24)*(1-F24)</f>
        <v>13583.62782</v>
      </c>
      <c r="R24" s="10" t="n">
        <f aca="false">J24*(E24-K24)*(1-F24)</f>
        <v>790.85394952</v>
      </c>
      <c r="S24" s="10" t="n">
        <f aca="false">M24*(F24-L24)</f>
        <v>-8714.5494383656</v>
      </c>
      <c r="T24" s="10" t="n">
        <f aca="false">ROUND(P24-(Q24+R24+S24),2)</f>
        <v>0</v>
      </c>
    </row>
    <row r="25" customFormat="false" ht="15" hidden="false" customHeight="true" outlineLevel="0" collapsed="false">
      <c r="A25" s="7" t="s">
        <v>66</v>
      </c>
      <c r="B25" s="7" t="s">
        <v>42</v>
      </c>
      <c r="C25" s="7" t="s">
        <v>43</v>
      </c>
      <c r="D25" s="8" t="n">
        <v>251650.01</v>
      </c>
      <c r="E25" s="9" t="n">
        <v>0.1</v>
      </c>
      <c r="F25" s="9" t="n">
        <v>0.62</v>
      </c>
      <c r="G25" s="10" t="n">
        <f aca="false">D25*(1-E25)</f>
        <v>226485.009</v>
      </c>
      <c r="H25" s="10" t="n">
        <f aca="false">G25*F25</f>
        <v>140420.70558</v>
      </c>
      <c r="I25" s="10" t="n">
        <f aca="false">G25-H25</f>
        <v>86064.30342</v>
      </c>
      <c r="J25" s="8" t="n">
        <v>255358.31</v>
      </c>
      <c r="K25" s="9" t="n">
        <v>0.0991</v>
      </c>
      <c r="L25" s="9" t="n">
        <v>0.6518</v>
      </c>
      <c r="M25" s="10" t="n">
        <f aca="false">J25*(1-K25)</f>
        <v>230052.301479</v>
      </c>
      <c r="N25" s="10" t="n">
        <f aca="false">M25*L25</f>
        <v>149948.090104012</v>
      </c>
      <c r="O25" s="10" t="n">
        <f aca="false">M25-N25</f>
        <v>80104.2113749878</v>
      </c>
      <c r="P25" s="10" t="n">
        <f aca="false">O25-I25</f>
        <v>-5960.09204501222</v>
      </c>
      <c r="Q25" s="10" t="n">
        <f aca="false">(J25-D25)*(1-E25)*(1-F25)</f>
        <v>1268.2386</v>
      </c>
      <c r="R25" s="10" t="n">
        <f aca="false">J25*(E25-K25)*(1-F25)</f>
        <v>87.3325420200012</v>
      </c>
      <c r="S25" s="10" t="n">
        <f aca="false">M25*(F25-L25)</f>
        <v>-7315.66318703221</v>
      </c>
      <c r="T25" s="10" t="n">
        <f aca="false">ROUND(P25-(Q25+R25+S25),2)</f>
        <v>0</v>
      </c>
    </row>
    <row r="26" customFormat="false" ht="15" hidden="false" customHeight="true" outlineLevel="0" collapsed="false">
      <c r="A26" s="7" t="s">
        <v>41</v>
      </c>
      <c r="B26" s="7" t="s">
        <v>42</v>
      </c>
      <c r="C26" s="7" t="s">
        <v>67</v>
      </c>
      <c r="D26" s="8" t="n">
        <v>154542.86</v>
      </c>
      <c r="E26" s="9" t="n">
        <v>0.12</v>
      </c>
      <c r="F26" s="9" t="n">
        <v>0.58</v>
      </c>
      <c r="G26" s="10" t="n">
        <f aca="false">D26*(1-E26)</f>
        <v>135997.7168</v>
      </c>
      <c r="H26" s="10" t="n">
        <f aca="false">G26*F26</f>
        <v>78878.675744</v>
      </c>
      <c r="I26" s="10" t="n">
        <f aca="false">G26-H26</f>
        <v>57119.041056</v>
      </c>
      <c r="J26" s="8" t="n">
        <v>155735.68</v>
      </c>
      <c r="K26" s="9" t="n">
        <v>0.124</v>
      </c>
      <c r="L26" s="9" t="n">
        <v>0.592</v>
      </c>
      <c r="M26" s="10" t="n">
        <f aca="false">J26*(1-K26)</f>
        <v>136424.45568</v>
      </c>
      <c r="N26" s="10" t="n">
        <f aca="false">M26*L26</f>
        <v>80763.27776256</v>
      </c>
      <c r="O26" s="10" t="n">
        <f aca="false">M26-N26</f>
        <v>55661.17791744</v>
      </c>
      <c r="P26" s="10" t="n">
        <f aca="false">O26-I26</f>
        <v>-1457.86313856</v>
      </c>
      <c r="Q26" s="10" t="n">
        <f aca="false">(J26-D26)*(1-E26)*(1-F26)</f>
        <v>440.866272000003</v>
      </c>
      <c r="R26" s="10" t="n">
        <f aca="false">J26*(E26-K26)*(1-F26)</f>
        <v>-261.6359424</v>
      </c>
      <c r="S26" s="10" t="n">
        <f aca="false">M26*(F26-L26)</f>
        <v>-1637.09346816</v>
      </c>
      <c r="T26" s="10" t="n">
        <f aca="false">ROUND(P26-(Q26+R26+S26),2)</f>
        <v>0</v>
      </c>
    </row>
    <row r="27" customFormat="false" ht="15" hidden="false" customHeight="true" outlineLevel="0" collapsed="false">
      <c r="A27" s="7" t="s">
        <v>44</v>
      </c>
      <c r="B27" s="7" t="s">
        <v>42</v>
      </c>
      <c r="C27" s="7" t="s">
        <v>67</v>
      </c>
      <c r="D27" s="8" t="n">
        <v>152317.45</v>
      </c>
      <c r="E27" s="9" t="n">
        <v>0.12</v>
      </c>
      <c r="F27" s="9" t="n">
        <v>0.58</v>
      </c>
      <c r="G27" s="10" t="n">
        <f aca="false">D27*(1-E27)</f>
        <v>134039.356</v>
      </c>
      <c r="H27" s="10" t="n">
        <f aca="false">G27*F27</f>
        <v>77742.82648</v>
      </c>
      <c r="I27" s="10" t="n">
        <f aca="false">G27-H27</f>
        <v>56296.52952</v>
      </c>
      <c r="J27" s="8" t="n">
        <v>135698.08</v>
      </c>
      <c r="K27" s="9" t="n">
        <v>0.1007</v>
      </c>
      <c r="L27" s="9" t="n">
        <v>0.5779</v>
      </c>
      <c r="M27" s="10" t="n">
        <f aca="false">J27*(1-K27)</f>
        <v>122033.283344</v>
      </c>
      <c r="N27" s="10" t="n">
        <f aca="false">M27*L27</f>
        <v>70523.0344444976</v>
      </c>
      <c r="O27" s="10" t="n">
        <f aca="false">M27-N27</f>
        <v>51510.2488995024</v>
      </c>
      <c r="P27" s="10" t="n">
        <f aca="false">O27-I27</f>
        <v>-4786.28062049762</v>
      </c>
      <c r="Q27" s="10" t="n">
        <f aca="false">(J27-D27)*(1-E27)*(1-F27)</f>
        <v>-6142.51915200001</v>
      </c>
      <c r="R27" s="10" t="n">
        <f aca="false">J27*(E27-K27)*(1-F27)</f>
        <v>1099.96863648</v>
      </c>
      <c r="S27" s="10" t="n">
        <f aca="false">M27*(F27-L27)</f>
        <v>256.269895022399</v>
      </c>
      <c r="T27" s="10" t="n">
        <f aca="false">ROUND(P27-(Q27+R27+S27),2)</f>
        <v>0</v>
      </c>
    </row>
    <row r="28" customFormat="false" ht="15" hidden="false" customHeight="true" outlineLevel="0" collapsed="false">
      <c r="A28" s="7" t="s">
        <v>45</v>
      </c>
      <c r="B28" s="7" t="s">
        <v>42</v>
      </c>
      <c r="C28" s="7" t="s">
        <v>67</v>
      </c>
      <c r="D28" s="8" t="n">
        <v>165738.64</v>
      </c>
      <c r="E28" s="9" t="n">
        <v>0.12</v>
      </c>
      <c r="F28" s="9" t="n">
        <v>0.58</v>
      </c>
      <c r="G28" s="10" t="n">
        <f aca="false">D28*(1-E28)</f>
        <v>145850.0032</v>
      </c>
      <c r="H28" s="10" t="n">
        <f aca="false">G28*F28</f>
        <v>84593.001856</v>
      </c>
      <c r="I28" s="10" t="n">
        <f aca="false">G28-H28</f>
        <v>61257.001344</v>
      </c>
      <c r="J28" s="8" t="n">
        <v>151782.94</v>
      </c>
      <c r="K28" s="9" t="n">
        <v>0.1076</v>
      </c>
      <c r="L28" s="9" t="n">
        <v>0.5764</v>
      </c>
      <c r="M28" s="10" t="n">
        <f aca="false">J28*(1-K28)</f>
        <v>135451.095656</v>
      </c>
      <c r="N28" s="10" t="n">
        <f aca="false">M28*L28</f>
        <v>78074.0115361184</v>
      </c>
      <c r="O28" s="10" t="n">
        <f aca="false">M28-N28</f>
        <v>57377.0841198816</v>
      </c>
      <c r="P28" s="10" t="n">
        <f aca="false">O28-I28</f>
        <v>-3879.91722411841</v>
      </c>
      <c r="Q28" s="10" t="n">
        <f aca="false">(J28-D28)*(1-E28)*(1-F28)</f>
        <v>-5158.02672000001</v>
      </c>
      <c r="R28" s="10" t="n">
        <f aca="false">J28*(E28-K28)*(1-F28)</f>
        <v>790.48555152</v>
      </c>
      <c r="S28" s="10" t="n">
        <f aca="false">M28*(F28-L28)</f>
        <v>487.623944361591</v>
      </c>
      <c r="T28" s="10" t="n">
        <f aca="false">ROUND(P28-(Q28+R28+S28),2)</f>
        <v>0</v>
      </c>
    </row>
    <row r="29" customFormat="false" ht="15" hidden="false" customHeight="true" outlineLevel="0" collapsed="false">
      <c r="A29" s="7" t="s">
        <v>46</v>
      </c>
      <c r="B29" s="7" t="s">
        <v>42</v>
      </c>
      <c r="C29" s="7" t="s">
        <v>67</v>
      </c>
      <c r="D29" s="8" t="n">
        <v>172318.73</v>
      </c>
      <c r="E29" s="9" t="n">
        <v>0.12</v>
      </c>
      <c r="F29" s="9" t="n">
        <v>0.58</v>
      </c>
      <c r="G29" s="10" t="n">
        <f aca="false">D29*(1-E29)</f>
        <v>151640.4824</v>
      </c>
      <c r="H29" s="10" t="n">
        <f aca="false">G29*F29</f>
        <v>87951.479792</v>
      </c>
      <c r="I29" s="10" t="n">
        <f aca="false">G29-H29</f>
        <v>63689.002608</v>
      </c>
      <c r="J29" s="8" t="n">
        <v>191213.06</v>
      </c>
      <c r="K29" s="9" t="n">
        <v>0.1253</v>
      </c>
      <c r="L29" s="9" t="n">
        <v>0.5841</v>
      </c>
      <c r="M29" s="10" t="n">
        <f aca="false">J29*(1-K29)</f>
        <v>167254.063582</v>
      </c>
      <c r="N29" s="10" t="n">
        <f aca="false">M29*L29</f>
        <v>97693.0985382462</v>
      </c>
      <c r="O29" s="10" t="n">
        <f aca="false">M29-N29</f>
        <v>69560.9650437538</v>
      </c>
      <c r="P29" s="10" t="n">
        <f aca="false">O29-I29</f>
        <v>5871.9624357538</v>
      </c>
      <c r="Q29" s="10" t="n">
        <f aca="false">(J29-D29)*(1-E29)*(1-F29)</f>
        <v>6983.344368</v>
      </c>
      <c r="R29" s="10" t="n">
        <f aca="false">J29*(E29-K29)*(1-F29)</f>
        <v>-425.64027156</v>
      </c>
      <c r="S29" s="10" t="n">
        <f aca="false">M29*(F29-L29)</f>
        <v>-685.741660686199</v>
      </c>
      <c r="T29" s="10" t="n">
        <f aca="false">ROUND(P29-(Q29+R29+S29),2)</f>
        <v>0</v>
      </c>
    </row>
    <row r="30" customFormat="false" ht="15" hidden="false" customHeight="true" outlineLevel="0" collapsed="false">
      <c r="A30" s="7" t="s">
        <v>47</v>
      </c>
      <c r="B30" s="7" t="s">
        <v>42</v>
      </c>
      <c r="C30" s="7" t="s">
        <v>67</v>
      </c>
      <c r="D30" s="8" t="n">
        <v>177209.15</v>
      </c>
      <c r="E30" s="9" t="n">
        <v>0.12</v>
      </c>
      <c r="F30" s="9" t="n">
        <v>0.58</v>
      </c>
      <c r="G30" s="10" t="n">
        <f aca="false">D30*(1-E30)</f>
        <v>155944.052</v>
      </c>
      <c r="H30" s="10" t="n">
        <f aca="false">G30*F30</f>
        <v>90447.55016</v>
      </c>
      <c r="I30" s="10" t="n">
        <f aca="false">G30-H30</f>
        <v>65496.50184</v>
      </c>
      <c r="J30" s="8" t="n">
        <v>201538.07</v>
      </c>
      <c r="K30" s="9" t="n">
        <v>0.106</v>
      </c>
      <c r="L30" s="9" t="n">
        <v>0.5814</v>
      </c>
      <c r="M30" s="10" t="n">
        <f aca="false">J30*(1-K30)</f>
        <v>180175.03458</v>
      </c>
      <c r="N30" s="10" t="n">
        <f aca="false">M30*L30</f>
        <v>104753.765104812</v>
      </c>
      <c r="O30" s="10" t="n">
        <f aca="false">M30-N30</f>
        <v>75421.269475188</v>
      </c>
      <c r="P30" s="10" t="n">
        <f aca="false">O30-I30</f>
        <v>9924.76763518799</v>
      </c>
      <c r="Q30" s="10" t="n">
        <f aca="false">(J30-D30)*(1-E30)*(1-F30)</f>
        <v>8991.96883200001</v>
      </c>
      <c r="R30" s="10" t="n">
        <f aca="false">J30*(E30-K30)*(1-F30)</f>
        <v>1185.0438516</v>
      </c>
      <c r="S30" s="10" t="n">
        <f aca="false">M30*(F30-L30)</f>
        <v>-252.245048412012</v>
      </c>
      <c r="T30" s="10" t="n">
        <f aca="false">ROUND(P30-(Q30+R30+S30),2)</f>
        <v>0</v>
      </c>
    </row>
    <row r="31" customFormat="false" ht="15" hidden="false" customHeight="true" outlineLevel="0" collapsed="false">
      <c r="A31" s="7" t="s">
        <v>48</v>
      </c>
      <c r="B31" s="7" t="s">
        <v>42</v>
      </c>
      <c r="C31" s="7" t="s">
        <v>67</v>
      </c>
      <c r="D31" s="8" t="n">
        <v>182154.52</v>
      </c>
      <c r="E31" s="9" t="n">
        <v>0.12</v>
      </c>
      <c r="F31" s="9" t="n">
        <v>0.58</v>
      </c>
      <c r="G31" s="10" t="n">
        <f aca="false">D31*(1-E31)</f>
        <v>160295.9776</v>
      </c>
      <c r="H31" s="10" t="n">
        <f aca="false">G31*F31</f>
        <v>92971.667008</v>
      </c>
      <c r="I31" s="10" t="n">
        <f aca="false">G31-H31</f>
        <v>67324.310592</v>
      </c>
      <c r="J31" s="8" t="n">
        <v>186219.71</v>
      </c>
      <c r="K31" s="9" t="n">
        <v>0.1294</v>
      </c>
      <c r="L31" s="9" t="n">
        <v>0.5901</v>
      </c>
      <c r="M31" s="10" t="n">
        <f aca="false">J31*(1-K31)</f>
        <v>162122.879526</v>
      </c>
      <c r="N31" s="10" t="n">
        <f aca="false">M31*L31</f>
        <v>95668.7112082926</v>
      </c>
      <c r="O31" s="10" t="n">
        <f aca="false">M31-N31</f>
        <v>66454.1683177074</v>
      </c>
      <c r="P31" s="10" t="n">
        <f aca="false">O31-I31</f>
        <v>-870.142274292579</v>
      </c>
      <c r="Q31" s="10" t="n">
        <f aca="false">(J31-D31)*(1-E31)*(1-F31)</f>
        <v>1502.494224</v>
      </c>
      <c r="R31" s="10" t="n">
        <f aca="false">J31*(E31-K31)*(1-F31)</f>
        <v>-735.195415079999</v>
      </c>
      <c r="S31" s="10" t="n">
        <f aca="false">M31*(F31-L31)</f>
        <v>-1637.4410832126</v>
      </c>
      <c r="T31" s="10" t="n">
        <f aca="false">ROUND(P31-(Q31+R31+S31),2)</f>
        <v>0</v>
      </c>
    </row>
    <row r="32" customFormat="false" ht="15" hidden="false" customHeight="true" outlineLevel="0" collapsed="false">
      <c r="A32" s="7" t="s">
        <v>49</v>
      </c>
      <c r="B32" s="7" t="s">
        <v>42</v>
      </c>
      <c r="C32" s="7" t="s">
        <v>67</v>
      </c>
      <c r="D32" s="8" t="n">
        <v>179956.58</v>
      </c>
      <c r="E32" s="9" t="n">
        <v>0.12</v>
      </c>
      <c r="F32" s="9" t="n">
        <v>0.58</v>
      </c>
      <c r="G32" s="10" t="n">
        <f aca="false">D32*(1-E32)</f>
        <v>158361.7904</v>
      </c>
      <c r="H32" s="10" t="n">
        <f aca="false">G32*F32</f>
        <v>91849.838432</v>
      </c>
      <c r="I32" s="10" t="n">
        <f aca="false">G32-H32</f>
        <v>66511.951968</v>
      </c>
      <c r="J32" s="8" t="n">
        <v>179234.22</v>
      </c>
      <c r="K32" s="9" t="n">
        <v>0.1259</v>
      </c>
      <c r="L32" s="9" t="n">
        <v>0.5707</v>
      </c>
      <c r="M32" s="10" t="n">
        <f aca="false">J32*(1-K32)</f>
        <v>156668.631702</v>
      </c>
      <c r="N32" s="10" t="n">
        <f aca="false">M32*L32</f>
        <v>89410.7881123314</v>
      </c>
      <c r="O32" s="10" t="n">
        <f aca="false">M32-N32</f>
        <v>67257.8435896686</v>
      </c>
      <c r="P32" s="10" t="n">
        <f aca="false">O32-I32</f>
        <v>745.891621668605</v>
      </c>
      <c r="Q32" s="10" t="n">
        <f aca="false">(J32-D32)*(1-E32)*(1-F32)</f>
        <v>-266.984255999995</v>
      </c>
      <c r="R32" s="10" t="n">
        <f aca="false">J32*(E32-K32)*(1-F32)</f>
        <v>-444.142397160001</v>
      </c>
      <c r="S32" s="10" t="n">
        <f aca="false">M32*(F32-L32)</f>
        <v>1457.0182748286</v>
      </c>
      <c r="T32" s="10" t="n">
        <f aca="false">ROUND(P32-(Q32+R32+S32),2)</f>
        <v>0</v>
      </c>
    </row>
    <row r="33" customFormat="false" ht="15" hidden="false" customHeight="true" outlineLevel="0" collapsed="false">
      <c r="A33" s="7" t="s">
        <v>50</v>
      </c>
      <c r="B33" s="7" t="s">
        <v>42</v>
      </c>
      <c r="C33" s="7" t="s">
        <v>67</v>
      </c>
      <c r="D33" s="8" t="n">
        <v>186770.2</v>
      </c>
      <c r="E33" s="9" t="n">
        <v>0.12</v>
      </c>
      <c r="F33" s="9" t="n">
        <v>0.58</v>
      </c>
      <c r="G33" s="10" t="n">
        <f aca="false">D33*(1-E33)</f>
        <v>164357.776</v>
      </c>
      <c r="H33" s="10" t="n">
        <f aca="false">G33*F33</f>
        <v>95327.51008</v>
      </c>
      <c r="I33" s="10" t="n">
        <f aca="false">G33-H33</f>
        <v>69030.26592</v>
      </c>
      <c r="J33" s="8" t="n">
        <v>191972.58</v>
      </c>
      <c r="K33" s="9" t="n">
        <v>0.1147</v>
      </c>
      <c r="L33" s="9" t="n">
        <v>0.5877</v>
      </c>
      <c r="M33" s="10" t="n">
        <f aca="false">J33*(1-K33)</f>
        <v>169953.325074</v>
      </c>
      <c r="N33" s="10" t="n">
        <f aca="false">M33*L33</f>
        <v>99881.5691459898</v>
      </c>
      <c r="O33" s="10" t="n">
        <f aca="false">M33-N33</f>
        <v>70071.7559280102</v>
      </c>
      <c r="P33" s="10" t="n">
        <f aca="false">O33-I33</f>
        <v>1041.49000801019</v>
      </c>
      <c r="Q33" s="10" t="n">
        <f aca="false">(J33-D33)*(1-E33)*(1-F33)</f>
        <v>1922.79964799999</v>
      </c>
      <c r="R33" s="10" t="n">
        <f aca="false">J33*(E33-K33)*(1-F33)</f>
        <v>427.33096308</v>
      </c>
      <c r="S33" s="10" t="n">
        <f aca="false">M33*(F33-L33)</f>
        <v>-1308.64060306981</v>
      </c>
      <c r="T33" s="10" t="n">
        <f aca="false">ROUND(P33-(Q33+R33+S33),2)</f>
        <v>0</v>
      </c>
    </row>
    <row r="34" customFormat="false" ht="15" hidden="false" customHeight="true" outlineLevel="0" collapsed="false">
      <c r="A34" s="7" t="s">
        <v>51</v>
      </c>
      <c r="B34" s="7" t="s">
        <v>42</v>
      </c>
      <c r="C34" s="7" t="s">
        <v>67</v>
      </c>
      <c r="D34" s="8" t="n">
        <v>191839.21</v>
      </c>
      <c r="E34" s="9" t="n">
        <v>0.12</v>
      </c>
      <c r="F34" s="9" t="n">
        <v>0.58</v>
      </c>
      <c r="G34" s="10" t="n">
        <f aca="false">D34*(1-E34)</f>
        <v>168818.5048</v>
      </c>
      <c r="H34" s="10" t="n">
        <f aca="false">G34*F34</f>
        <v>97914.732784</v>
      </c>
      <c r="I34" s="10" t="n">
        <f aca="false">G34-H34</f>
        <v>70903.772016</v>
      </c>
      <c r="J34" s="8" t="n">
        <v>172316.89</v>
      </c>
      <c r="K34" s="9" t="n">
        <v>0.1147</v>
      </c>
      <c r="L34" s="9" t="n">
        <v>0.5728</v>
      </c>
      <c r="M34" s="10" t="n">
        <f aca="false">J34*(1-K34)</f>
        <v>152552.142717</v>
      </c>
      <c r="N34" s="10" t="n">
        <f aca="false">M34*L34</f>
        <v>87381.8673482976</v>
      </c>
      <c r="O34" s="10" t="n">
        <f aca="false">M34-N34</f>
        <v>65170.2753687024</v>
      </c>
      <c r="P34" s="10" t="n">
        <f aca="false">O34-I34</f>
        <v>-5733.49664729759</v>
      </c>
      <c r="Q34" s="10" t="n">
        <f aca="false">(J34-D34)*(1-E34)*(1-F34)</f>
        <v>-7215.44947199999</v>
      </c>
      <c r="R34" s="10" t="n">
        <f aca="false">J34*(E34-K34)*(1-F34)</f>
        <v>383.57739714</v>
      </c>
      <c r="S34" s="10" t="n">
        <f aca="false">M34*(F34-L34)</f>
        <v>1098.3754275624</v>
      </c>
      <c r="T34" s="10" t="n">
        <f aca="false">ROUND(P34-(Q34+R34+S34),2)</f>
        <v>0</v>
      </c>
    </row>
    <row r="35" customFormat="false" ht="15" hidden="false" customHeight="true" outlineLevel="0" collapsed="false">
      <c r="A35" s="7" t="s">
        <v>52</v>
      </c>
      <c r="B35" s="7" t="s">
        <v>42</v>
      </c>
      <c r="C35" s="7" t="s">
        <v>67</v>
      </c>
      <c r="D35" s="8" t="n">
        <v>202485.5</v>
      </c>
      <c r="E35" s="9" t="n">
        <v>0.12</v>
      </c>
      <c r="F35" s="9" t="n">
        <v>0.58</v>
      </c>
      <c r="G35" s="10" t="n">
        <f aca="false">D35*(1-E35)</f>
        <v>178187.24</v>
      </c>
      <c r="H35" s="10" t="n">
        <f aca="false">G35*F35</f>
        <v>103348.5992</v>
      </c>
      <c r="I35" s="10" t="n">
        <f aca="false">G35-H35</f>
        <v>74838.6408</v>
      </c>
      <c r="J35" s="8" t="n">
        <v>197113.49</v>
      </c>
      <c r="K35" s="9" t="n">
        <v>0.1049</v>
      </c>
      <c r="L35" s="9" t="n">
        <v>0.5883</v>
      </c>
      <c r="M35" s="10" t="n">
        <f aca="false">J35*(1-K35)</f>
        <v>176436.284899</v>
      </c>
      <c r="N35" s="10" t="n">
        <f aca="false">M35*L35</f>
        <v>103797.466406082</v>
      </c>
      <c r="O35" s="10" t="n">
        <f aca="false">M35-N35</f>
        <v>72638.8184929183</v>
      </c>
      <c r="P35" s="10" t="n">
        <f aca="false">O35-I35</f>
        <v>-2199.82230708172</v>
      </c>
      <c r="Q35" s="10" t="n">
        <f aca="false">(J35-D35)*(1-E35)*(1-F35)</f>
        <v>-1985.494896</v>
      </c>
      <c r="R35" s="10" t="n">
        <f aca="false">J35*(E35-K35)*(1-F35)</f>
        <v>1250.09375358</v>
      </c>
      <c r="S35" s="10" t="n">
        <f aca="false">M35*(F35-L35)</f>
        <v>-1464.42116466172</v>
      </c>
      <c r="T35" s="10" t="n">
        <f aca="false">ROUND(P35-(Q35+R35+S35),2)</f>
        <v>0</v>
      </c>
    </row>
    <row r="36" customFormat="false" ht="15" hidden="false" customHeight="true" outlineLevel="0" collapsed="false">
      <c r="A36" s="7" t="s">
        <v>53</v>
      </c>
      <c r="B36" s="7" t="s">
        <v>42</v>
      </c>
      <c r="C36" s="7" t="s">
        <v>67</v>
      </c>
      <c r="D36" s="8" t="n">
        <v>241086.87</v>
      </c>
      <c r="E36" s="9" t="n">
        <v>0.12</v>
      </c>
      <c r="F36" s="9" t="n">
        <v>0.58</v>
      </c>
      <c r="G36" s="10" t="n">
        <f aca="false">D36*(1-E36)</f>
        <v>212156.4456</v>
      </c>
      <c r="H36" s="10" t="n">
        <f aca="false">G36*F36</f>
        <v>123050.738448</v>
      </c>
      <c r="I36" s="10" t="n">
        <f aca="false">G36-H36</f>
        <v>89105.707152</v>
      </c>
      <c r="J36" s="8" t="n">
        <v>236199.81</v>
      </c>
      <c r="K36" s="9" t="n">
        <v>0.122</v>
      </c>
      <c r="L36" s="9" t="n">
        <v>0.5738</v>
      </c>
      <c r="M36" s="10" t="n">
        <f aca="false">J36*(1-K36)</f>
        <v>207383.43318</v>
      </c>
      <c r="N36" s="10" t="n">
        <f aca="false">M36*L36</f>
        <v>118996.613958684</v>
      </c>
      <c r="O36" s="10" t="n">
        <f aca="false">M36-N36</f>
        <v>88386.819221316</v>
      </c>
      <c r="P36" s="10" t="n">
        <f aca="false">O36-I36</f>
        <v>-718.88793068401</v>
      </c>
      <c r="Q36" s="10" t="n">
        <f aca="false">(J36-D36)*(1-E36)*(1-F36)</f>
        <v>-1806.257376</v>
      </c>
      <c r="R36" s="10" t="n">
        <f aca="false">J36*(E36-K36)*(1-F36)</f>
        <v>-198.4078404</v>
      </c>
      <c r="S36" s="10" t="n">
        <f aca="false">M36*(F36-L36)</f>
        <v>1285.777285716</v>
      </c>
      <c r="T36" s="10" t="n">
        <f aca="false">ROUND(P36-(Q36+R36+S36),2)</f>
        <v>-0</v>
      </c>
    </row>
    <row r="37" customFormat="false" ht="15" hidden="false" customHeight="true" outlineLevel="0" collapsed="false">
      <c r="A37" s="7" t="s">
        <v>54</v>
      </c>
      <c r="B37" s="7" t="s">
        <v>42</v>
      </c>
      <c r="C37" s="7" t="s">
        <v>67</v>
      </c>
      <c r="D37" s="8" t="n">
        <v>227926.69</v>
      </c>
      <c r="E37" s="9" t="n">
        <v>0.12</v>
      </c>
      <c r="F37" s="9" t="n">
        <v>0.58</v>
      </c>
      <c r="G37" s="10" t="n">
        <f aca="false">D37*(1-E37)</f>
        <v>200575.4872</v>
      </c>
      <c r="H37" s="10" t="n">
        <f aca="false">G37*F37</f>
        <v>116333.782576</v>
      </c>
      <c r="I37" s="10" t="n">
        <f aca="false">G37-H37</f>
        <v>84241.704624</v>
      </c>
      <c r="J37" s="8" t="n">
        <v>247705.02</v>
      </c>
      <c r="K37" s="9" t="n">
        <v>0.1236</v>
      </c>
      <c r="L37" s="9" t="n">
        <v>0.5894</v>
      </c>
      <c r="M37" s="10" t="n">
        <f aca="false">J37*(1-K37)</f>
        <v>217088.679528</v>
      </c>
      <c r="N37" s="10" t="n">
        <f aca="false">M37*L37</f>
        <v>127952.067713803</v>
      </c>
      <c r="O37" s="10" t="n">
        <f aca="false">M37-N37</f>
        <v>89136.6118141968</v>
      </c>
      <c r="P37" s="10" t="n">
        <f aca="false">O37-I37</f>
        <v>4894.90719019678</v>
      </c>
      <c r="Q37" s="10" t="n">
        <f aca="false">(J37-D37)*(1-E37)*(1-F37)</f>
        <v>7310.070768</v>
      </c>
      <c r="R37" s="10" t="n">
        <f aca="false">J37*(E37-K37)*(1-F37)</f>
        <v>-374.529990240001</v>
      </c>
      <c r="S37" s="10" t="n">
        <f aca="false">M37*(F37-L37)</f>
        <v>-2040.63358756322</v>
      </c>
      <c r="T37" s="10" t="n">
        <f aca="false">ROUND(P37-(Q37+R37+S37),2)</f>
        <v>0</v>
      </c>
    </row>
    <row r="38" customFormat="false" ht="15" hidden="false" customHeight="true" outlineLevel="0" collapsed="false">
      <c r="A38" s="7" t="s">
        <v>55</v>
      </c>
      <c r="B38" s="7" t="s">
        <v>42</v>
      </c>
      <c r="C38" s="7" t="s">
        <v>67</v>
      </c>
      <c r="D38" s="8" t="n">
        <v>169378.98</v>
      </c>
      <c r="E38" s="9" t="n">
        <v>0.12</v>
      </c>
      <c r="F38" s="9" t="n">
        <v>0.58</v>
      </c>
      <c r="G38" s="10" t="n">
        <f aca="false">D38*(1-E38)</f>
        <v>149053.5024</v>
      </c>
      <c r="H38" s="10" t="n">
        <f aca="false">G38*F38</f>
        <v>86451.031392</v>
      </c>
      <c r="I38" s="10" t="n">
        <f aca="false">G38-H38</f>
        <v>62602.471008</v>
      </c>
      <c r="J38" s="8" t="n">
        <v>160984.22</v>
      </c>
      <c r="K38" s="9" t="n">
        <v>0.1285</v>
      </c>
      <c r="L38" s="9" t="n">
        <v>0.5795</v>
      </c>
      <c r="M38" s="10" t="n">
        <f aca="false">J38*(1-K38)</f>
        <v>140297.74773</v>
      </c>
      <c r="N38" s="10" t="n">
        <f aca="false">M38*L38</f>
        <v>81302.544809535</v>
      </c>
      <c r="O38" s="10" t="n">
        <f aca="false">M38-N38</f>
        <v>58995.202920465</v>
      </c>
      <c r="P38" s="10" t="n">
        <f aca="false">O38-I38</f>
        <v>-3607.26808753501</v>
      </c>
      <c r="Q38" s="10" t="n">
        <f aca="false">(J38-D38)*(1-E38)*(1-F38)</f>
        <v>-3102.703296</v>
      </c>
      <c r="R38" s="10" t="n">
        <f aca="false">J38*(E38-K38)*(1-F38)</f>
        <v>-574.713665400001</v>
      </c>
      <c r="S38" s="10" t="n">
        <f aca="false">M38*(F38-L38)</f>
        <v>70.1488738649923</v>
      </c>
      <c r="T38" s="10" t="n">
        <f aca="false">ROUND(P38-(Q38+R38+S38),2)</f>
        <v>0</v>
      </c>
    </row>
    <row r="39" customFormat="false" ht="15" hidden="false" customHeight="true" outlineLevel="0" collapsed="false">
      <c r="A39" s="7" t="s">
        <v>56</v>
      </c>
      <c r="B39" s="7" t="s">
        <v>42</v>
      </c>
      <c r="C39" s="7" t="s">
        <v>67</v>
      </c>
      <c r="D39" s="8" t="n">
        <v>166823.87</v>
      </c>
      <c r="E39" s="9" t="n">
        <v>0.12</v>
      </c>
      <c r="F39" s="9" t="n">
        <v>0.58</v>
      </c>
      <c r="G39" s="10" t="n">
        <f aca="false">D39*(1-E39)</f>
        <v>146805.0056</v>
      </c>
      <c r="H39" s="10" t="n">
        <f aca="false">G39*F39</f>
        <v>85146.903248</v>
      </c>
      <c r="I39" s="10" t="n">
        <f aca="false">G39-H39</f>
        <v>61658.102352</v>
      </c>
      <c r="J39" s="8" t="n">
        <v>169851.9</v>
      </c>
      <c r="K39" s="9" t="n">
        <v>0.1339</v>
      </c>
      <c r="L39" s="9" t="n">
        <v>0.5885</v>
      </c>
      <c r="M39" s="10" t="n">
        <f aca="false">J39*(1-K39)</f>
        <v>147108.73059</v>
      </c>
      <c r="N39" s="10" t="n">
        <f aca="false">M39*L39</f>
        <v>86573.487952215</v>
      </c>
      <c r="O39" s="10" t="n">
        <f aca="false">M39-N39</f>
        <v>60535.242637785</v>
      </c>
      <c r="P39" s="10" t="n">
        <f aca="false">O39-I39</f>
        <v>-1122.85971421501</v>
      </c>
      <c r="Q39" s="10" t="n">
        <f aca="false">(J39-D39)*(1-E39)*(1-F39)</f>
        <v>1119.159888</v>
      </c>
      <c r="R39" s="10" t="n">
        <f aca="false">J39*(E39-K39)*(1-F39)</f>
        <v>-991.5953922</v>
      </c>
      <c r="S39" s="10" t="n">
        <f aca="false">M39*(F39-L39)</f>
        <v>-1250.42421001501</v>
      </c>
      <c r="T39" s="10" t="n">
        <f aca="false">ROUND(P39-(Q39+R39+S39),2)</f>
        <v>0</v>
      </c>
    </row>
    <row r="40" customFormat="false" ht="15" hidden="false" customHeight="true" outlineLevel="0" collapsed="false">
      <c r="A40" s="7" t="s">
        <v>57</v>
      </c>
      <c r="B40" s="7" t="s">
        <v>42</v>
      </c>
      <c r="C40" s="7" t="s">
        <v>67</v>
      </c>
      <c r="D40" s="8" t="n">
        <v>181398.98</v>
      </c>
      <c r="E40" s="9" t="n">
        <v>0.12</v>
      </c>
      <c r="F40" s="9" t="n">
        <v>0.58</v>
      </c>
      <c r="G40" s="10" t="n">
        <f aca="false">D40*(1-E40)</f>
        <v>159631.1024</v>
      </c>
      <c r="H40" s="10" t="n">
        <f aca="false">G40*F40</f>
        <v>92586.039392</v>
      </c>
      <c r="I40" s="10" t="n">
        <f aca="false">G40-H40</f>
        <v>67045.063008</v>
      </c>
      <c r="J40" s="8" t="n">
        <v>187966.55</v>
      </c>
      <c r="K40" s="9" t="n">
        <v>0.1353</v>
      </c>
      <c r="L40" s="9" t="n">
        <v>0.571</v>
      </c>
      <c r="M40" s="10" t="n">
        <f aca="false">J40*(1-K40)</f>
        <v>162534.675785</v>
      </c>
      <c r="N40" s="10" t="n">
        <f aca="false">M40*L40</f>
        <v>92807.299873235</v>
      </c>
      <c r="O40" s="10" t="n">
        <f aca="false">M40-N40</f>
        <v>69727.375911765</v>
      </c>
      <c r="P40" s="10" t="n">
        <f aca="false">O40-I40</f>
        <v>2682.31290376499</v>
      </c>
      <c r="Q40" s="10" t="n">
        <f aca="false">(J40-D40)*(1-E40)*(1-F40)</f>
        <v>2427.37387199999</v>
      </c>
      <c r="R40" s="10" t="n">
        <f aca="false">J40*(E40-K40)*(1-F40)</f>
        <v>-1207.8730503</v>
      </c>
      <c r="S40" s="10" t="n">
        <f aca="false">M40*(F40-L40)</f>
        <v>1462.812082065</v>
      </c>
      <c r="T40" s="10" t="n">
        <f aca="false">ROUND(P40-(Q40+R40+S40),2)</f>
        <v>0</v>
      </c>
    </row>
    <row r="41" customFormat="false" ht="15" hidden="false" customHeight="true" outlineLevel="0" collapsed="false">
      <c r="A41" s="7" t="s">
        <v>58</v>
      </c>
      <c r="B41" s="7" t="s">
        <v>42</v>
      </c>
      <c r="C41" s="7" t="s">
        <v>67</v>
      </c>
      <c r="D41" s="8" t="n">
        <v>188473.61</v>
      </c>
      <c r="E41" s="9" t="n">
        <v>0.12</v>
      </c>
      <c r="F41" s="9" t="n">
        <v>0.58</v>
      </c>
      <c r="G41" s="10" t="n">
        <f aca="false">D41*(1-E41)</f>
        <v>165856.7768</v>
      </c>
      <c r="H41" s="10" t="n">
        <f aca="false">G41*F41</f>
        <v>96196.930544</v>
      </c>
      <c r="I41" s="10" t="n">
        <f aca="false">G41-H41</f>
        <v>69659.846256</v>
      </c>
      <c r="J41" s="8" t="n">
        <v>198654.16</v>
      </c>
      <c r="K41" s="9" t="n">
        <v>0.1199</v>
      </c>
      <c r="L41" s="9" t="n">
        <v>0.5883</v>
      </c>
      <c r="M41" s="10" t="n">
        <f aca="false">J41*(1-K41)</f>
        <v>174835.526216</v>
      </c>
      <c r="N41" s="10" t="n">
        <f aca="false">M41*L41</f>
        <v>102855.740072873</v>
      </c>
      <c r="O41" s="10" t="n">
        <f aca="false">M41-N41</f>
        <v>71979.7861431272</v>
      </c>
      <c r="P41" s="10" t="n">
        <f aca="false">O41-I41</f>
        <v>2319.93988712718</v>
      </c>
      <c r="Q41" s="10" t="n">
        <f aca="false">(J41-D41)*(1-E41)*(1-F41)</f>
        <v>3762.73128000001</v>
      </c>
      <c r="R41" s="10" t="n">
        <f aca="false">J41*(E41-K41)*(1-F41)</f>
        <v>8.34347471999908</v>
      </c>
      <c r="S41" s="10" t="n">
        <f aca="false">M41*(F41-L41)</f>
        <v>-1451.13486759281</v>
      </c>
      <c r="T41" s="10" t="n">
        <f aca="false">ROUND(P41-(Q41+R41+S41),2)</f>
        <v>0</v>
      </c>
    </row>
    <row r="42" customFormat="false" ht="15" hidden="false" customHeight="true" outlineLevel="0" collapsed="false">
      <c r="A42" s="7" t="s">
        <v>59</v>
      </c>
      <c r="B42" s="7" t="s">
        <v>42</v>
      </c>
      <c r="C42" s="7" t="s">
        <v>67</v>
      </c>
      <c r="D42" s="8" t="n">
        <v>193693.72</v>
      </c>
      <c r="E42" s="9" t="n">
        <v>0.12</v>
      </c>
      <c r="F42" s="9" t="n">
        <v>0.58</v>
      </c>
      <c r="G42" s="10" t="n">
        <f aca="false">D42*(1-E42)</f>
        <v>170450.4736</v>
      </c>
      <c r="H42" s="10" t="n">
        <f aca="false">G42*F42</f>
        <v>98861.274688</v>
      </c>
      <c r="I42" s="10" t="n">
        <f aca="false">G42-H42</f>
        <v>71589.198912</v>
      </c>
      <c r="J42" s="8" t="n">
        <v>189538.7</v>
      </c>
      <c r="K42" s="9" t="n">
        <v>0.118</v>
      </c>
      <c r="L42" s="9" t="n">
        <v>0.5945</v>
      </c>
      <c r="M42" s="10" t="n">
        <f aca="false">J42*(1-K42)</f>
        <v>167173.1334</v>
      </c>
      <c r="N42" s="10" t="n">
        <f aca="false">M42*L42</f>
        <v>99384.4278063</v>
      </c>
      <c r="O42" s="10" t="n">
        <f aca="false">M42-N42</f>
        <v>67788.7055937</v>
      </c>
      <c r="P42" s="10" t="n">
        <f aca="false">O42-I42</f>
        <v>-3800.49331830001</v>
      </c>
      <c r="Q42" s="10" t="n">
        <f aca="false">(J42-D42)*(1-E42)*(1-F42)</f>
        <v>-1535.695392</v>
      </c>
      <c r="R42" s="10" t="n">
        <f aca="false">J42*(E42-K42)*(1-F42)</f>
        <v>159.212508</v>
      </c>
      <c r="S42" s="10" t="n">
        <f aca="false">M42*(F42-L42)</f>
        <v>-2424.01043430001</v>
      </c>
      <c r="T42" s="10" t="n">
        <f aca="false">ROUND(P42-(Q42+R42+S42),2)</f>
        <v>0</v>
      </c>
    </row>
    <row r="43" customFormat="false" ht="15" hidden="false" customHeight="true" outlineLevel="0" collapsed="false">
      <c r="A43" s="7" t="s">
        <v>60</v>
      </c>
      <c r="B43" s="7" t="s">
        <v>42</v>
      </c>
      <c r="C43" s="7" t="s">
        <v>67</v>
      </c>
      <c r="D43" s="8" t="n">
        <v>198968.79</v>
      </c>
      <c r="E43" s="9" t="n">
        <v>0.12</v>
      </c>
      <c r="F43" s="9" t="n">
        <v>0.58</v>
      </c>
      <c r="G43" s="10" t="n">
        <f aca="false">D43*(1-E43)</f>
        <v>175092.5352</v>
      </c>
      <c r="H43" s="10" t="n">
        <f aca="false">G43*F43</f>
        <v>101553.670416</v>
      </c>
      <c r="I43" s="10" t="n">
        <f aca="false">G43-H43</f>
        <v>73538.864784</v>
      </c>
      <c r="J43" s="8" t="n">
        <v>192133.52</v>
      </c>
      <c r="K43" s="9" t="n">
        <v>0.1108</v>
      </c>
      <c r="L43" s="9" t="n">
        <v>0.5868</v>
      </c>
      <c r="M43" s="10" t="n">
        <f aca="false">J43*(1-K43)</f>
        <v>170845.125984</v>
      </c>
      <c r="N43" s="10" t="n">
        <f aca="false">M43*L43</f>
        <v>100251.919927411</v>
      </c>
      <c r="O43" s="10" t="n">
        <f aca="false">M43-N43</f>
        <v>70593.2060565888</v>
      </c>
      <c r="P43" s="10" t="n">
        <f aca="false">O43-I43</f>
        <v>-2945.65872741122</v>
      </c>
      <c r="Q43" s="10" t="n">
        <f aca="false">(J43-D43)*(1-E43)*(1-F43)</f>
        <v>-2526.31579200001</v>
      </c>
      <c r="R43" s="10" t="n">
        <f aca="false">J43*(E43-K43)*(1-F43)</f>
        <v>742.40392128</v>
      </c>
      <c r="S43" s="10" t="n">
        <f aca="false">M43*(F43-L43)</f>
        <v>-1161.7468566912</v>
      </c>
      <c r="T43" s="10" t="n">
        <f aca="false">ROUND(P43-(Q43+R43+S43),2)</f>
        <v>-0</v>
      </c>
    </row>
    <row r="44" customFormat="false" ht="15" hidden="false" customHeight="true" outlineLevel="0" collapsed="false">
      <c r="A44" s="7" t="s">
        <v>61</v>
      </c>
      <c r="B44" s="7" t="s">
        <v>42</v>
      </c>
      <c r="C44" s="7" t="s">
        <v>67</v>
      </c>
      <c r="D44" s="8" t="n">
        <v>196441.15</v>
      </c>
      <c r="E44" s="9" t="n">
        <v>0.12</v>
      </c>
      <c r="F44" s="9" t="n">
        <v>0.58</v>
      </c>
      <c r="G44" s="10" t="n">
        <f aca="false">D44*(1-E44)</f>
        <v>172868.212</v>
      </c>
      <c r="H44" s="10" t="n">
        <f aca="false">G44*F44</f>
        <v>100263.56296</v>
      </c>
      <c r="I44" s="10" t="n">
        <f aca="false">G44-H44</f>
        <v>72604.64904</v>
      </c>
      <c r="J44" s="8" t="n">
        <v>175060.95</v>
      </c>
      <c r="K44" s="9" t="n">
        <v>0.1394</v>
      </c>
      <c r="L44" s="9" t="n">
        <v>0.5787</v>
      </c>
      <c r="M44" s="10" t="n">
        <f aca="false">J44*(1-K44)</f>
        <v>150657.45357</v>
      </c>
      <c r="N44" s="10" t="n">
        <f aca="false">M44*L44</f>
        <v>87185.468380959</v>
      </c>
      <c r="O44" s="10" t="n">
        <f aca="false">M44-N44</f>
        <v>63471.985189041</v>
      </c>
      <c r="P44" s="10" t="n">
        <f aca="false">O44-I44</f>
        <v>-9132.663850959</v>
      </c>
      <c r="Q44" s="10" t="n">
        <f aca="false">(J44-D44)*(1-E44)*(1-F44)</f>
        <v>-7902.12192</v>
      </c>
      <c r="R44" s="10" t="n">
        <f aca="false">J44*(E44-K44)*(1-F44)</f>
        <v>-1426.3966206</v>
      </c>
      <c r="S44" s="10" t="n">
        <f aca="false">M44*(F44-L44)</f>
        <v>195.854689640995</v>
      </c>
      <c r="T44" s="10" t="n">
        <f aca="false">ROUND(P44-(Q44+R44+S44),2)</f>
        <v>0</v>
      </c>
    </row>
    <row r="45" customFormat="false" ht="15" hidden="false" customHeight="true" outlineLevel="0" collapsed="false">
      <c r="A45" s="7" t="s">
        <v>62</v>
      </c>
      <c r="B45" s="7" t="s">
        <v>42</v>
      </c>
      <c r="C45" s="7" t="s">
        <v>67</v>
      </c>
      <c r="D45" s="8" t="n">
        <v>203749.31</v>
      </c>
      <c r="E45" s="9" t="n">
        <v>0.12</v>
      </c>
      <c r="F45" s="9" t="n">
        <v>0.58</v>
      </c>
      <c r="G45" s="10" t="n">
        <f aca="false">D45*(1-E45)</f>
        <v>179299.3928</v>
      </c>
      <c r="H45" s="10" t="n">
        <f aca="false">G45*F45</f>
        <v>103993.647824</v>
      </c>
      <c r="I45" s="10" t="n">
        <f aca="false">G45-H45</f>
        <v>75305.744976</v>
      </c>
      <c r="J45" s="8" t="n">
        <v>215440.32</v>
      </c>
      <c r="K45" s="9" t="n">
        <v>0.1295</v>
      </c>
      <c r="L45" s="9" t="n">
        <v>0.5728</v>
      </c>
      <c r="M45" s="10" t="n">
        <f aca="false">J45*(1-K45)</f>
        <v>187540.79856</v>
      </c>
      <c r="N45" s="10" t="n">
        <f aca="false">M45*L45</f>
        <v>107423.369415168</v>
      </c>
      <c r="O45" s="10" t="n">
        <f aca="false">M45-N45</f>
        <v>80117.429144832</v>
      </c>
      <c r="P45" s="10" t="n">
        <f aca="false">O45-I45</f>
        <v>4811.68416883201</v>
      </c>
      <c r="Q45" s="10" t="n">
        <f aca="false">(J45-D45)*(1-E45)*(1-F45)</f>
        <v>4320.997296</v>
      </c>
      <c r="R45" s="10" t="n">
        <f aca="false">J45*(E45-K45)*(1-F45)</f>
        <v>-859.606876800001</v>
      </c>
      <c r="S45" s="10" t="n">
        <f aca="false">M45*(F45-L45)</f>
        <v>1350.293749632</v>
      </c>
      <c r="T45" s="10" t="n">
        <f aca="false">ROUND(P45-(Q45+R45+S45),2)</f>
        <v>0</v>
      </c>
    </row>
    <row r="46" customFormat="false" ht="15" hidden="false" customHeight="true" outlineLevel="0" collapsed="false">
      <c r="A46" s="7" t="s">
        <v>63</v>
      </c>
      <c r="B46" s="7" t="s">
        <v>42</v>
      </c>
      <c r="C46" s="7" t="s">
        <v>67</v>
      </c>
      <c r="D46" s="8" t="n">
        <v>209148.01</v>
      </c>
      <c r="E46" s="9" t="n">
        <v>0.12</v>
      </c>
      <c r="F46" s="9" t="n">
        <v>0.58</v>
      </c>
      <c r="G46" s="10" t="n">
        <f aca="false">D46*(1-E46)</f>
        <v>184050.2488</v>
      </c>
      <c r="H46" s="10" t="n">
        <f aca="false">G46*F46</f>
        <v>106749.144304</v>
      </c>
      <c r="I46" s="10" t="n">
        <f aca="false">G46-H46</f>
        <v>77301.104496</v>
      </c>
      <c r="J46" s="8" t="n">
        <v>221510.75</v>
      </c>
      <c r="K46" s="9" t="n">
        <v>0.116</v>
      </c>
      <c r="L46" s="9" t="n">
        <v>0.5905</v>
      </c>
      <c r="M46" s="10" t="n">
        <f aca="false">J46*(1-K46)</f>
        <v>195815.503</v>
      </c>
      <c r="N46" s="10" t="n">
        <f aca="false">M46*L46</f>
        <v>115629.0545215</v>
      </c>
      <c r="O46" s="10" t="n">
        <f aca="false">M46-N46</f>
        <v>80186.4484785</v>
      </c>
      <c r="P46" s="10" t="n">
        <f aca="false">O46-I46</f>
        <v>2885.34398249998</v>
      </c>
      <c r="Q46" s="10" t="n">
        <f aca="false">(J46-D46)*(1-E46)*(1-F46)</f>
        <v>4569.268704</v>
      </c>
      <c r="R46" s="10" t="n">
        <f aca="false">J46*(E46-K46)*(1-F46)</f>
        <v>372.138059999999</v>
      </c>
      <c r="S46" s="10" t="n">
        <f aca="false">M46*(F46-L46)</f>
        <v>-2056.06278150001</v>
      </c>
      <c r="T46" s="10" t="n">
        <f aca="false">ROUND(P46-(Q46+R46+S46),2)</f>
        <v>0</v>
      </c>
    </row>
    <row r="47" customFormat="false" ht="15" hidden="false" customHeight="true" outlineLevel="0" collapsed="false">
      <c r="A47" s="7" t="s">
        <v>64</v>
      </c>
      <c r="B47" s="7" t="s">
        <v>42</v>
      </c>
      <c r="C47" s="7" t="s">
        <v>67</v>
      </c>
      <c r="D47" s="8" t="n">
        <v>220618.52</v>
      </c>
      <c r="E47" s="9" t="n">
        <v>0.12</v>
      </c>
      <c r="F47" s="9" t="n">
        <v>0.58</v>
      </c>
      <c r="G47" s="10" t="n">
        <f aca="false">D47*(1-E47)</f>
        <v>194144.2976</v>
      </c>
      <c r="H47" s="10" t="n">
        <f aca="false">G47*F47</f>
        <v>112603.692608</v>
      </c>
      <c r="I47" s="10" t="n">
        <f aca="false">G47-H47</f>
        <v>81540.604992</v>
      </c>
      <c r="J47" s="8" t="n">
        <v>215214.12</v>
      </c>
      <c r="K47" s="9" t="n">
        <v>0.1163</v>
      </c>
      <c r="L47" s="9" t="n">
        <v>0.5812</v>
      </c>
      <c r="M47" s="10" t="n">
        <f aca="false">J47*(1-K47)</f>
        <v>190184.717844</v>
      </c>
      <c r="N47" s="10" t="n">
        <f aca="false">M47*L47</f>
        <v>110535.358010933</v>
      </c>
      <c r="O47" s="10" t="n">
        <f aca="false">M47-N47</f>
        <v>79649.3598330672</v>
      </c>
      <c r="P47" s="10" t="n">
        <f aca="false">O47-I47</f>
        <v>-1891.24515893281</v>
      </c>
      <c r="Q47" s="10" t="n">
        <f aca="false">(J47-D47)*(1-E47)*(1-F47)</f>
        <v>-1997.46624</v>
      </c>
      <c r="R47" s="10" t="n">
        <f aca="false">J47*(E47-K47)*(1-F47)</f>
        <v>334.44274248</v>
      </c>
      <c r="S47" s="10" t="n">
        <f aca="false">M47*(F47-L47)</f>
        <v>-228.221661412817</v>
      </c>
      <c r="T47" s="10" t="n">
        <f aca="false">ROUND(P47-(Q47+R47+S47),2)</f>
        <v>0</v>
      </c>
    </row>
    <row r="48" customFormat="false" ht="15" hidden="false" customHeight="true" outlineLevel="0" collapsed="false">
      <c r="A48" s="7" t="s">
        <v>65</v>
      </c>
      <c r="B48" s="7" t="s">
        <v>42</v>
      </c>
      <c r="C48" s="7" t="s">
        <v>67</v>
      </c>
      <c r="D48" s="8" t="n">
        <v>262516.81</v>
      </c>
      <c r="E48" s="9" t="n">
        <v>0.12</v>
      </c>
      <c r="F48" s="9" t="n">
        <v>0.58</v>
      </c>
      <c r="G48" s="10" t="n">
        <f aca="false">D48*(1-E48)</f>
        <v>231014.7928</v>
      </c>
      <c r="H48" s="10" t="n">
        <f aca="false">G48*F48</f>
        <v>133988.579824</v>
      </c>
      <c r="I48" s="10" t="n">
        <f aca="false">G48-H48</f>
        <v>97026.212976</v>
      </c>
      <c r="J48" s="8" t="n">
        <v>265550.62</v>
      </c>
      <c r="K48" s="9" t="n">
        <v>0.1247</v>
      </c>
      <c r="L48" s="9" t="n">
        <v>0.5762</v>
      </c>
      <c r="M48" s="10" t="n">
        <f aca="false">J48*(1-K48)</f>
        <v>232436.457686</v>
      </c>
      <c r="N48" s="10" t="n">
        <f aca="false">M48*L48</f>
        <v>133929.886918673</v>
      </c>
      <c r="O48" s="10" t="n">
        <f aca="false">M48-N48</f>
        <v>98506.5707673268</v>
      </c>
      <c r="P48" s="10" t="n">
        <f aca="false">O48-I48</f>
        <v>1480.35779132677</v>
      </c>
      <c r="Q48" s="10" t="n">
        <f aca="false">(J48-D48)*(1-E48)*(1-F48)</f>
        <v>1121.296176</v>
      </c>
      <c r="R48" s="10" t="n">
        <f aca="false">J48*(E48-K48)*(1-F48)</f>
        <v>-524.196923880001</v>
      </c>
      <c r="S48" s="10" t="n">
        <f aca="false">M48*(F48-L48)</f>
        <v>883.25853920678</v>
      </c>
      <c r="T48" s="10" t="n">
        <f aca="false">ROUND(P48-(Q48+R48+S48),2)</f>
        <v>-0</v>
      </c>
    </row>
    <row r="49" customFormat="false" ht="15" hidden="false" customHeight="true" outlineLevel="0" collapsed="false">
      <c r="A49" s="7" t="s">
        <v>66</v>
      </c>
      <c r="B49" s="7" t="s">
        <v>42</v>
      </c>
      <c r="C49" s="7" t="s">
        <v>67</v>
      </c>
      <c r="D49" s="8" t="n">
        <v>248037.86</v>
      </c>
      <c r="E49" s="9" t="n">
        <v>0.12</v>
      </c>
      <c r="F49" s="9" t="n">
        <v>0.58</v>
      </c>
      <c r="G49" s="10" t="n">
        <f aca="false">D49*(1-E49)</f>
        <v>218273.3168</v>
      </c>
      <c r="H49" s="10" t="n">
        <f aca="false">G49*F49</f>
        <v>126598.523744</v>
      </c>
      <c r="I49" s="10" t="n">
        <f aca="false">G49-H49</f>
        <v>91674.793056</v>
      </c>
      <c r="J49" s="8" t="n">
        <v>230724.07</v>
      </c>
      <c r="K49" s="9" t="n">
        <v>0.1212</v>
      </c>
      <c r="L49" s="9" t="n">
        <v>0.577</v>
      </c>
      <c r="M49" s="10" t="n">
        <f aca="false">J49*(1-K49)</f>
        <v>202760.312716</v>
      </c>
      <c r="N49" s="10" t="n">
        <f aca="false">M49*L49</f>
        <v>116992.700437132</v>
      </c>
      <c r="O49" s="10" t="n">
        <f aca="false">M49-N49</f>
        <v>85767.612278868</v>
      </c>
      <c r="P49" s="10" t="n">
        <f aca="false">O49-I49</f>
        <v>-5907.180777132</v>
      </c>
      <c r="Q49" s="10" t="n">
        <f aca="false">(J49-D49)*(1-E49)*(1-F49)</f>
        <v>-6399.17678399999</v>
      </c>
      <c r="R49" s="10" t="n">
        <f aca="false">J49*(E49-K49)*(1-F49)</f>
        <v>-116.284931280001</v>
      </c>
      <c r="S49" s="10" t="n">
        <f aca="false">M49*(F49-L49)</f>
        <v>608.280938148001</v>
      </c>
      <c r="T49" s="10" t="n">
        <f aca="false">ROUND(P49-(Q49+R49+S49),2)</f>
        <v>0</v>
      </c>
    </row>
    <row r="50" customFormat="false" ht="15" hidden="false" customHeight="true" outlineLevel="0" collapsed="false">
      <c r="A50" s="7" t="s">
        <v>41</v>
      </c>
      <c r="B50" s="7" t="s">
        <v>42</v>
      </c>
      <c r="C50" s="7" t="s">
        <v>68</v>
      </c>
      <c r="D50" s="8" t="n">
        <v>98460.27</v>
      </c>
      <c r="E50" s="9" t="n">
        <v>0.08</v>
      </c>
      <c r="F50" s="9" t="n">
        <v>0.55</v>
      </c>
      <c r="G50" s="10" t="n">
        <f aca="false">D50*(1-E50)</f>
        <v>90583.4484</v>
      </c>
      <c r="H50" s="10" t="n">
        <f aca="false">G50*F50</f>
        <v>49820.89662</v>
      </c>
      <c r="I50" s="10" t="n">
        <f aca="false">G50-H50</f>
        <v>40762.55178</v>
      </c>
      <c r="J50" s="8" t="n">
        <v>97430.04</v>
      </c>
      <c r="K50" s="9" t="n">
        <v>0.0827</v>
      </c>
      <c r="L50" s="9" t="n">
        <v>0.5638</v>
      </c>
      <c r="M50" s="10" t="n">
        <f aca="false">J50*(1-K50)</f>
        <v>89372.575692</v>
      </c>
      <c r="N50" s="10" t="n">
        <f aca="false">M50*L50</f>
        <v>50388.2581751496</v>
      </c>
      <c r="O50" s="10" t="n">
        <f aca="false">M50-N50</f>
        <v>38984.3175168504</v>
      </c>
      <c r="P50" s="10" t="n">
        <f aca="false">O50-I50</f>
        <v>-1778.2342631496</v>
      </c>
      <c r="Q50" s="10" t="n">
        <f aca="false">(J50-D50)*(1-E50)*(1-F50)</f>
        <v>-426.515220000004</v>
      </c>
      <c r="R50" s="10" t="n">
        <f aca="false">J50*(E50-K50)*(1-F50)</f>
        <v>-118.3774986</v>
      </c>
      <c r="S50" s="10" t="n">
        <f aca="false">M50*(F50-L50)</f>
        <v>-1233.34154454959</v>
      </c>
      <c r="T50" s="10" t="n">
        <f aca="false">ROUND(P50-(Q50+R50+S50),2)</f>
        <v>0</v>
      </c>
    </row>
    <row r="51" customFormat="false" ht="15" hidden="false" customHeight="true" outlineLevel="0" collapsed="false">
      <c r="A51" s="7" t="s">
        <v>44</v>
      </c>
      <c r="B51" s="7" t="s">
        <v>42</v>
      </c>
      <c r="C51" s="7" t="s">
        <v>68</v>
      </c>
      <c r="D51" s="8" t="n">
        <v>97042.44</v>
      </c>
      <c r="E51" s="9" t="n">
        <v>0.08</v>
      </c>
      <c r="F51" s="9" t="n">
        <v>0.55</v>
      </c>
      <c r="G51" s="10" t="n">
        <f aca="false">D51*(1-E51)</f>
        <v>89279.0448</v>
      </c>
      <c r="H51" s="10" t="n">
        <f aca="false">G51*F51</f>
        <v>49103.47464</v>
      </c>
      <c r="I51" s="10" t="n">
        <f aca="false">G51-H51</f>
        <v>40175.57016</v>
      </c>
      <c r="J51" s="8" t="n">
        <v>100572.7</v>
      </c>
      <c r="K51" s="9" t="n">
        <v>0.0666</v>
      </c>
      <c r="L51" s="9" t="n">
        <v>0.558</v>
      </c>
      <c r="M51" s="10" t="n">
        <f aca="false">J51*(1-K51)</f>
        <v>93874.55818</v>
      </c>
      <c r="N51" s="10" t="n">
        <f aca="false">M51*L51</f>
        <v>52382.00346444</v>
      </c>
      <c r="O51" s="10" t="n">
        <f aca="false">M51-N51</f>
        <v>41492.55471556</v>
      </c>
      <c r="P51" s="10" t="n">
        <f aca="false">O51-I51</f>
        <v>1316.98455556</v>
      </c>
      <c r="Q51" s="10" t="n">
        <f aca="false">(J51-D51)*(1-E51)*(1-F51)</f>
        <v>1461.52764</v>
      </c>
      <c r="R51" s="10" t="n">
        <f aca="false">J51*(E51-K51)*(1-F51)</f>
        <v>606.453381</v>
      </c>
      <c r="S51" s="10" t="n">
        <f aca="false">M51*(F51-L51)</f>
        <v>-750.996465440001</v>
      </c>
      <c r="T51" s="10" t="n">
        <f aca="false">ROUND(P51-(Q51+R51+S51),2)</f>
        <v>0</v>
      </c>
    </row>
    <row r="52" customFormat="false" ht="15" hidden="false" customHeight="true" outlineLevel="0" collapsed="false">
      <c r="A52" s="7" t="s">
        <v>45</v>
      </c>
      <c r="B52" s="7" t="s">
        <v>42</v>
      </c>
      <c r="C52" s="7" t="s">
        <v>68</v>
      </c>
      <c r="D52" s="8" t="n">
        <v>105593.17</v>
      </c>
      <c r="E52" s="9" t="n">
        <v>0.08</v>
      </c>
      <c r="F52" s="9" t="n">
        <v>0.55</v>
      </c>
      <c r="G52" s="10" t="n">
        <f aca="false">D52*(1-E52)</f>
        <v>97145.7164</v>
      </c>
      <c r="H52" s="10" t="n">
        <f aca="false">G52*F52</f>
        <v>53430.14402</v>
      </c>
      <c r="I52" s="10" t="n">
        <f aca="false">G52-H52</f>
        <v>43715.57238</v>
      </c>
      <c r="J52" s="8" t="n">
        <v>103040.98</v>
      </c>
      <c r="K52" s="9" t="n">
        <v>0.071</v>
      </c>
      <c r="L52" s="9" t="n">
        <v>0.5607</v>
      </c>
      <c r="M52" s="10" t="n">
        <f aca="false">J52*(1-K52)</f>
        <v>95725.07042</v>
      </c>
      <c r="N52" s="10" t="n">
        <f aca="false">M52*L52</f>
        <v>53673.046984494</v>
      </c>
      <c r="O52" s="10" t="n">
        <f aca="false">M52-N52</f>
        <v>42052.023435506</v>
      </c>
      <c r="P52" s="10" t="n">
        <f aca="false">O52-I52</f>
        <v>-1663.548944494</v>
      </c>
      <c r="Q52" s="10" t="n">
        <f aca="false">(J52-D52)*(1-E52)*(1-F52)</f>
        <v>-1056.60666</v>
      </c>
      <c r="R52" s="10" t="n">
        <f aca="false">J52*(E52-K52)*(1-F52)</f>
        <v>417.315969</v>
      </c>
      <c r="S52" s="10" t="n">
        <f aca="false">M52*(F52-L52)</f>
        <v>-1024.25825349399</v>
      </c>
      <c r="T52" s="10" t="n">
        <f aca="false">ROUND(P52-(Q52+R52+S52),2)</f>
        <v>0</v>
      </c>
    </row>
    <row r="53" customFormat="false" ht="15" hidden="false" customHeight="true" outlineLevel="0" collapsed="false">
      <c r="A53" s="7" t="s">
        <v>46</v>
      </c>
      <c r="B53" s="7" t="s">
        <v>42</v>
      </c>
      <c r="C53" s="7" t="s">
        <v>68</v>
      </c>
      <c r="D53" s="8" t="n">
        <v>109785.39</v>
      </c>
      <c r="E53" s="9" t="n">
        <v>0.08</v>
      </c>
      <c r="F53" s="9" t="n">
        <v>0.55</v>
      </c>
      <c r="G53" s="10" t="n">
        <f aca="false">D53*(1-E53)</f>
        <v>101002.5588</v>
      </c>
      <c r="H53" s="10" t="n">
        <f aca="false">G53*F53</f>
        <v>55551.40734</v>
      </c>
      <c r="I53" s="10" t="n">
        <f aca="false">G53-H53</f>
        <v>45451.15146</v>
      </c>
      <c r="J53" s="8" t="n">
        <v>110131.69</v>
      </c>
      <c r="K53" s="9" t="n">
        <v>0.083</v>
      </c>
      <c r="L53" s="9" t="n">
        <v>0.5619</v>
      </c>
      <c r="M53" s="10" t="n">
        <f aca="false">J53*(1-K53)</f>
        <v>100990.75973</v>
      </c>
      <c r="N53" s="10" t="n">
        <f aca="false">M53*L53</f>
        <v>56746.707892287</v>
      </c>
      <c r="O53" s="10" t="n">
        <f aca="false">M53-N53</f>
        <v>44244.051837713</v>
      </c>
      <c r="P53" s="10" t="n">
        <f aca="false">O53-I53</f>
        <v>-1207.09962228699</v>
      </c>
      <c r="Q53" s="10" t="n">
        <f aca="false">(J53-D53)*(1-E53)*(1-F53)</f>
        <v>143.368200000001</v>
      </c>
      <c r="R53" s="10" t="n">
        <f aca="false">J53*(E53-K53)*(1-F53)</f>
        <v>-148.6777815</v>
      </c>
      <c r="S53" s="10" t="n">
        <f aca="false">M53*(F53-L53)</f>
        <v>-1201.79004078699</v>
      </c>
      <c r="T53" s="10" t="n">
        <f aca="false">ROUND(P53-(Q53+R53+S53),2)</f>
        <v>0</v>
      </c>
    </row>
    <row r="54" customFormat="false" ht="15" hidden="false" customHeight="true" outlineLevel="0" collapsed="false">
      <c r="A54" s="7" t="s">
        <v>47</v>
      </c>
      <c r="B54" s="7" t="s">
        <v>42</v>
      </c>
      <c r="C54" s="7" t="s">
        <v>68</v>
      </c>
      <c r="D54" s="8" t="n">
        <v>112901.11</v>
      </c>
      <c r="E54" s="9" t="n">
        <v>0.08</v>
      </c>
      <c r="F54" s="9" t="n">
        <v>0.55</v>
      </c>
      <c r="G54" s="10" t="n">
        <f aca="false">D54*(1-E54)</f>
        <v>103869.0212</v>
      </c>
      <c r="H54" s="10" t="n">
        <f aca="false">G54*F54</f>
        <v>57127.96166</v>
      </c>
      <c r="I54" s="10" t="n">
        <f aca="false">G54-H54</f>
        <v>46741.05954</v>
      </c>
      <c r="J54" s="8" t="n">
        <v>119110.53</v>
      </c>
      <c r="K54" s="9" t="n">
        <v>0.0709</v>
      </c>
      <c r="L54" s="9" t="n">
        <v>0.5421</v>
      </c>
      <c r="M54" s="10" t="n">
        <f aca="false">J54*(1-K54)</f>
        <v>110665.593423</v>
      </c>
      <c r="N54" s="10" t="n">
        <f aca="false">M54*L54</f>
        <v>59991.8181946083</v>
      </c>
      <c r="O54" s="10" t="n">
        <f aca="false">M54-N54</f>
        <v>50673.7752283917</v>
      </c>
      <c r="P54" s="10" t="n">
        <f aca="false">O54-I54</f>
        <v>3932.71568839171</v>
      </c>
      <c r="Q54" s="10" t="n">
        <f aca="false">(J54-D54)*(1-E54)*(1-F54)</f>
        <v>2570.69988</v>
      </c>
      <c r="R54" s="10" t="n">
        <f aca="false">J54*(E54-K54)*(1-F54)</f>
        <v>487.75762035</v>
      </c>
      <c r="S54" s="10" t="n">
        <f aca="false">M54*(F54-L54)</f>
        <v>874.258188041702</v>
      </c>
      <c r="T54" s="10" t="n">
        <f aca="false">ROUND(P54-(Q54+R54+S54),2)</f>
        <v>0</v>
      </c>
    </row>
    <row r="55" customFormat="false" ht="15" hidden="false" customHeight="true" outlineLevel="0" collapsed="false">
      <c r="A55" s="7" t="s">
        <v>48</v>
      </c>
      <c r="B55" s="7" t="s">
        <v>42</v>
      </c>
      <c r="C55" s="7" t="s">
        <v>68</v>
      </c>
      <c r="D55" s="8" t="n">
        <v>116051.84</v>
      </c>
      <c r="E55" s="9" t="n">
        <v>0.08</v>
      </c>
      <c r="F55" s="9" t="n">
        <v>0.55</v>
      </c>
      <c r="G55" s="10" t="n">
        <f aca="false">D55*(1-E55)</f>
        <v>106767.6928</v>
      </c>
      <c r="H55" s="10" t="n">
        <f aca="false">G55*F55</f>
        <v>58722.23104</v>
      </c>
      <c r="I55" s="10" t="n">
        <f aca="false">G55-H55</f>
        <v>48045.46176</v>
      </c>
      <c r="J55" s="8" t="n">
        <v>119535.92</v>
      </c>
      <c r="K55" s="9" t="n">
        <v>0.0854</v>
      </c>
      <c r="L55" s="9" t="n">
        <v>0.5431</v>
      </c>
      <c r="M55" s="10" t="n">
        <f aca="false">J55*(1-K55)</f>
        <v>109327.552432</v>
      </c>
      <c r="N55" s="10" t="n">
        <f aca="false">M55*L55</f>
        <v>59375.7937258192</v>
      </c>
      <c r="O55" s="10" t="n">
        <f aca="false">M55-N55</f>
        <v>49951.7587061808</v>
      </c>
      <c r="P55" s="10" t="n">
        <f aca="false">O55-I55</f>
        <v>1906.2969461808</v>
      </c>
      <c r="Q55" s="10" t="n">
        <f aca="false">(J55-D55)*(1-E55)*(1-F55)</f>
        <v>1442.40912</v>
      </c>
      <c r="R55" s="10" t="n">
        <f aca="false">J55*(E55-K55)*(1-F55)</f>
        <v>-290.4722856</v>
      </c>
      <c r="S55" s="10" t="n">
        <f aca="false">M55*(F55-L55)</f>
        <v>754.360111780802</v>
      </c>
      <c r="T55" s="10" t="n">
        <f aca="false">ROUND(P55-(Q55+R55+S55),2)</f>
        <v>-0</v>
      </c>
    </row>
    <row r="56" customFormat="false" ht="15" hidden="false" customHeight="true" outlineLevel="0" collapsed="false">
      <c r="A56" s="7" t="s">
        <v>49</v>
      </c>
      <c r="B56" s="7" t="s">
        <v>42</v>
      </c>
      <c r="C56" s="7" t="s">
        <v>68</v>
      </c>
      <c r="D56" s="8" t="n">
        <v>114651.52</v>
      </c>
      <c r="E56" s="9" t="n">
        <v>0.08</v>
      </c>
      <c r="F56" s="9" t="n">
        <v>0.55</v>
      </c>
      <c r="G56" s="10" t="n">
        <f aca="false">D56*(1-E56)</f>
        <v>105479.3984</v>
      </c>
      <c r="H56" s="10" t="n">
        <f aca="false">G56*F56</f>
        <v>58013.66912</v>
      </c>
      <c r="I56" s="10" t="n">
        <f aca="false">G56-H56</f>
        <v>47465.72928</v>
      </c>
      <c r="J56" s="8" t="n">
        <v>111138.42</v>
      </c>
      <c r="K56" s="9" t="n">
        <v>0.0854</v>
      </c>
      <c r="L56" s="9" t="n">
        <v>0.549</v>
      </c>
      <c r="M56" s="10" t="n">
        <f aca="false">J56*(1-K56)</f>
        <v>101647.198932</v>
      </c>
      <c r="N56" s="10" t="n">
        <f aca="false">M56*L56</f>
        <v>55804.312213668</v>
      </c>
      <c r="O56" s="10" t="n">
        <f aca="false">M56-N56</f>
        <v>45842.886718332</v>
      </c>
      <c r="P56" s="10" t="n">
        <f aca="false">O56-I56</f>
        <v>-1622.842561668</v>
      </c>
      <c r="Q56" s="10" t="n">
        <f aca="false">(J56-D56)*(1-E56)*(1-F56)</f>
        <v>-1454.4234</v>
      </c>
      <c r="R56" s="10" t="n">
        <f aca="false">J56*(E56-K56)*(1-F56)</f>
        <v>-270.0663606</v>
      </c>
      <c r="S56" s="10" t="n">
        <f aca="false">M56*(F56-L56)</f>
        <v>101.647198932</v>
      </c>
      <c r="T56" s="10" t="n">
        <f aca="false">ROUND(P56-(Q56+R56+S56),2)</f>
        <v>0</v>
      </c>
    </row>
    <row r="57" customFormat="false" ht="15" hidden="false" customHeight="true" outlineLevel="0" collapsed="false">
      <c r="A57" s="7" t="s">
        <v>50</v>
      </c>
      <c r="B57" s="7" t="s">
        <v>42</v>
      </c>
      <c r="C57" s="7" t="s">
        <v>68</v>
      </c>
      <c r="D57" s="8" t="n">
        <v>118992.52</v>
      </c>
      <c r="E57" s="9" t="n">
        <v>0.08</v>
      </c>
      <c r="F57" s="9" t="n">
        <v>0.55</v>
      </c>
      <c r="G57" s="10" t="n">
        <f aca="false">D57*(1-E57)</f>
        <v>109473.1184</v>
      </c>
      <c r="H57" s="10" t="n">
        <f aca="false">G57*F57</f>
        <v>60210.21512</v>
      </c>
      <c r="I57" s="10" t="n">
        <f aca="false">G57-H57</f>
        <v>49262.90328</v>
      </c>
      <c r="J57" s="8" t="n">
        <v>128599.61</v>
      </c>
      <c r="K57" s="9" t="n">
        <v>0.0831</v>
      </c>
      <c r="L57" s="9" t="n">
        <v>0.5507</v>
      </c>
      <c r="M57" s="10" t="n">
        <f aca="false">J57*(1-K57)</f>
        <v>117912.982409</v>
      </c>
      <c r="N57" s="10" t="n">
        <f aca="false">M57*L57</f>
        <v>64934.6794126363</v>
      </c>
      <c r="O57" s="10" t="n">
        <f aca="false">M57-N57</f>
        <v>52978.3029963637</v>
      </c>
      <c r="P57" s="10" t="n">
        <f aca="false">O57-I57</f>
        <v>3715.39971636371</v>
      </c>
      <c r="Q57" s="10" t="n">
        <f aca="false">(J57-D57)*(1-E57)*(1-F57)</f>
        <v>3977.33526</v>
      </c>
      <c r="R57" s="10" t="n">
        <f aca="false">J57*(E57-K57)*(1-F57)</f>
        <v>-179.39645595</v>
      </c>
      <c r="S57" s="10" t="n">
        <f aca="false">M57*(F57-L57)</f>
        <v>-82.5390876862909</v>
      </c>
      <c r="T57" s="10" t="n">
        <f aca="false">ROUND(P57-(Q57+R57+S57),2)</f>
        <v>0</v>
      </c>
    </row>
    <row r="58" customFormat="false" ht="15" hidden="false" customHeight="true" outlineLevel="0" collapsed="false">
      <c r="A58" s="7" t="s">
        <v>51</v>
      </c>
      <c r="B58" s="7" t="s">
        <v>42</v>
      </c>
      <c r="C58" s="7" t="s">
        <v>68</v>
      </c>
      <c r="D58" s="8" t="n">
        <v>122222.02</v>
      </c>
      <c r="E58" s="9" t="n">
        <v>0.08</v>
      </c>
      <c r="F58" s="9" t="n">
        <v>0.55</v>
      </c>
      <c r="G58" s="10" t="n">
        <f aca="false">D58*(1-E58)</f>
        <v>112444.2584</v>
      </c>
      <c r="H58" s="10" t="n">
        <f aca="false">G58*F58</f>
        <v>61844.34212</v>
      </c>
      <c r="I58" s="10" t="n">
        <f aca="false">G58-H58</f>
        <v>50599.91628</v>
      </c>
      <c r="J58" s="8" t="n">
        <v>133066.81</v>
      </c>
      <c r="K58" s="9" t="n">
        <v>0.0876</v>
      </c>
      <c r="L58" s="9" t="n">
        <v>0.5515</v>
      </c>
      <c r="M58" s="10" t="n">
        <f aca="false">J58*(1-K58)</f>
        <v>121410.157444</v>
      </c>
      <c r="N58" s="10" t="n">
        <f aca="false">M58*L58</f>
        <v>66957.701830366</v>
      </c>
      <c r="O58" s="10" t="n">
        <f aca="false">M58-N58</f>
        <v>54452.455613634</v>
      </c>
      <c r="P58" s="10" t="n">
        <f aca="false">O58-I58</f>
        <v>3852.539333634</v>
      </c>
      <c r="Q58" s="10" t="n">
        <f aca="false">(J58-D58)*(1-E58)*(1-F58)</f>
        <v>4489.74306</v>
      </c>
      <c r="R58" s="10" t="n">
        <f aca="false">J58*(E58-K58)*(1-F58)</f>
        <v>-455.0884902</v>
      </c>
      <c r="S58" s="10" t="n">
        <f aca="false">M58*(F58-L58)</f>
        <v>-182.115236165993</v>
      </c>
      <c r="T58" s="10" t="n">
        <f aca="false">ROUND(P58-(Q58+R58+S58),2)</f>
        <v>0</v>
      </c>
    </row>
    <row r="59" customFormat="false" ht="15" hidden="false" customHeight="true" outlineLevel="0" collapsed="false">
      <c r="A59" s="7" t="s">
        <v>52</v>
      </c>
      <c r="B59" s="7" t="s">
        <v>42</v>
      </c>
      <c r="C59" s="7" t="s">
        <v>68</v>
      </c>
      <c r="D59" s="8" t="n">
        <v>129004.84</v>
      </c>
      <c r="E59" s="9" t="n">
        <v>0.08</v>
      </c>
      <c r="F59" s="9" t="n">
        <v>0.55</v>
      </c>
      <c r="G59" s="10" t="n">
        <f aca="false">D59*(1-E59)</f>
        <v>118684.4528</v>
      </c>
      <c r="H59" s="10" t="n">
        <f aca="false">G59*F59</f>
        <v>65276.44904</v>
      </c>
      <c r="I59" s="10" t="n">
        <f aca="false">G59-H59</f>
        <v>53408.00376</v>
      </c>
      <c r="J59" s="8" t="n">
        <v>135477.51</v>
      </c>
      <c r="K59" s="9" t="n">
        <v>0.0809</v>
      </c>
      <c r="L59" s="9" t="n">
        <v>0.5507</v>
      </c>
      <c r="M59" s="10" t="n">
        <f aca="false">J59*(1-K59)</f>
        <v>124517.379441</v>
      </c>
      <c r="N59" s="10" t="n">
        <f aca="false">M59*L59</f>
        <v>68571.7208581587</v>
      </c>
      <c r="O59" s="10" t="n">
        <f aca="false">M59-N59</f>
        <v>55945.6585828413</v>
      </c>
      <c r="P59" s="10" t="n">
        <f aca="false">O59-I59</f>
        <v>2537.65482284132</v>
      </c>
      <c r="Q59" s="10" t="n">
        <f aca="false">(J59-D59)*(1-E59)*(1-F59)</f>
        <v>2679.68538000001</v>
      </c>
      <c r="R59" s="10" t="n">
        <f aca="false">J59*(E59-K59)*(1-F59)</f>
        <v>-54.8683915499999</v>
      </c>
      <c r="S59" s="10" t="n">
        <f aca="false">M59*(F59-L59)</f>
        <v>-87.1621656086904</v>
      </c>
      <c r="T59" s="10" t="n">
        <f aca="false">ROUND(P59-(Q59+R59+S59),2)</f>
        <v>0</v>
      </c>
    </row>
    <row r="60" customFormat="false" ht="15" hidden="false" customHeight="true" outlineLevel="0" collapsed="false">
      <c r="A60" s="7" t="s">
        <v>53</v>
      </c>
      <c r="B60" s="7" t="s">
        <v>42</v>
      </c>
      <c r="C60" s="7" t="s">
        <v>68</v>
      </c>
      <c r="D60" s="8" t="n">
        <v>153598.02</v>
      </c>
      <c r="E60" s="9" t="n">
        <v>0.08</v>
      </c>
      <c r="F60" s="9" t="n">
        <v>0.55</v>
      </c>
      <c r="G60" s="10" t="n">
        <f aca="false">D60*(1-E60)</f>
        <v>141310.1784</v>
      </c>
      <c r="H60" s="10" t="n">
        <f aca="false">G60*F60</f>
        <v>77720.59812</v>
      </c>
      <c r="I60" s="10" t="n">
        <f aca="false">G60-H60</f>
        <v>63589.58028</v>
      </c>
      <c r="J60" s="8" t="n">
        <v>158211.1</v>
      </c>
      <c r="K60" s="9" t="n">
        <v>0.0796</v>
      </c>
      <c r="L60" s="9" t="n">
        <v>0.5567</v>
      </c>
      <c r="M60" s="10" t="n">
        <f aca="false">J60*(1-K60)</f>
        <v>145617.49644</v>
      </c>
      <c r="N60" s="10" t="n">
        <f aca="false">M60*L60</f>
        <v>81065.260268148</v>
      </c>
      <c r="O60" s="10" t="n">
        <f aca="false">M60-N60</f>
        <v>64552.236171852</v>
      </c>
      <c r="P60" s="10" t="n">
        <f aca="false">O60-I60</f>
        <v>962.655891852017</v>
      </c>
      <c r="Q60" s="10" t="n">
        <f aca="false">(J60-D60)*(1-E60)*(1-F60)</f>
        <v>1909.81512000001</v>
      </c>
      <c r="R60" s="10" t="n">
        <f aca="false">J60*(E60-K60)*(1-F60)</f>
        <v>28.4779979999998</v>
      </c>
      <c r="S60" s="10" t="n">
        <f aca="false">M60*(F60-L60)</f>
        <v>-975.63722614799</v>
      </c>
      <c r="T60" s="10" t="n">
        <f aca="false">ROUND(P60-(Q60+R60+S60),2)</f>
        <v>0</v>
      </c>
    </row>
    <row r="61" customFormat="false" ht="15" hidden="false" customHeight="true" outlineLevel="0" collapsed="false">
      <c r="A61" s="7" t="s">
        <v>54</v>
      </c>
      <c r="B61" s="7" t="s">
        <v>42</v>
      </c>
      <c r="C61" s="7" t="s">
        <v>68</v>
      </c>
      <c r="D61" s="8" t="n">
        <v>145213.58</v>
      </c>
      <c r="E61" s="9" t="n">
        <v>0.08</v>
      </c>
      <c r="F61" s="9" t="n">
        <v>0.55</v>
      </c>
      <c r="G61" s="10" t="n">
        <f aca="false">D61*(1-E61)</f>
        <v>133596.4936</v>
      </c>
      <c r="H61" s="10" t="n">
        <f aca="false">G61*F61</f>
        <v>73478.07148</v>
      </c>
      <c r="I61" s="10" t="n">
        <f aca="false">G61-H61</f>
        <v>60118.42212</v>
      </c>
      <c r="J61" s="8" t="n">
        <v>150410.54</v>
      </c>
      <c r="K61" s="9" t="n">
        <v>0.079</v>
      </c>
      <c r="L61" s="9" t="n">
        <v>0.5451</v>
      </c>
      <c r="M61" s="10" t="n">
        <f aca="false">J61*(1-K61)</f>
        <v>138528.10734</v>
      </c>
      <c r="N61" s="10" t="n">
        <f aca="false">M61*L61</f>
        <v>75511.671311034</v>
      </c>
      <c r="O61" s="10" t="n">
        <f aca="false">M61-N61</f>
        <v>63016.436028966</v>
      </c>
      <c r="P61" s="10" t="n">
        <f aca="false">O61-I61</f>
        <v>2898.01390896602</v>
      </c>
      <c r="Q61" s="10" t="n">
        <f aca="false">(J61-D61)*(1-E61)*(1-F61)</f>
        <v>2151.54144000001</v>
      </c>
      <c r="R61" s="10" t="n">
        <f aca="false">J61*(E61-K61)*(1-F61)</f>
        <v>67.6847430000001</v>
      </c>
      <c r="S61" s="10" t="n">
        <f aca="false">M61*(F61-L61)</f>
        <v>678.787725966002</v>
      </c>
      <c r="T61" s="10" t="n">
        <f aca="false">ROUND(P61-(Q61+R61+S61),2)</f>
        <v>0</v>
      </c>
    </row>
    <row r="62" customFormat="false" ht="15" hidden="false" customHeight="true" outlineLevel="0" collapsed="false">
      <c r="A62" s="7" t="s">
        <v>55</v>
      </c>
      <c r="B62" s="7" t="s">
        <v>42</v>
      </c>
      <c r="C62" s="7" t="s">
        <v>68</v>
      </c>
      <c r="D62" s="8" t="n">
        <v>107912.46</v>
      </c>
      <c r="E62" s="9" t="n">
        <v>0.08</v>
      </c>
      <c r="F62" s="9" t="n">
        <v>0.55</v>
      </c>
      <c r="G62" s="10" t="n">
        <f aca="false">D62*(1-E62)</f>
        <v>99279.4632</v>
      </c>
      <c r="H62" s="10" t="n">
        <f aca="false">G62*F62</f>
        <v>54603.70476</v>
      </c>
      <c r="I62" s="10" t="n">
        <f aca="false">G62-H62</f>
        <v>44675.75844</v>
      </c>
      <c r="J62" s="8" t="n">
        <v>112670.59</v>
      </c>
      <c r="K62" s="9" t="n">
        <v>0.0709</v>
      </c>
      <c r="L62" s="9" t="n">
        <v>0.5675</v>
      </c>
      <c r="M62" s="10" t="n">
        <f aca="false">J62*(1-K62)</f>
        <v>104682.245169</v>
      </c>
      <c r="N62" s="10" t="n">
        <f aca="false">M62*L62</f>
        <v>59407.1741334075</v>
      </c>
      <c r="O62" s="10" t="n">
        <f aca="false">M62-N62</f>
        <v>45275.0710355925</v>
      </c>
      <c r="P62" s="10" t="n">
        <f aca="false">O62-I62</f>
        <v>599.312595592499</v>
      </c>
      <c r="Q62" s="10" t="n">
        <f aca="false">(J62-D62)*(1-E62)*(1-F62)</f>
        <v>1969.86582</v>
      </c>
      <c r="R62" s="10" t="n">
        <f aca="false">J62*(E62-K62)*(1-F62)</f>
        <v>461.38606605</v>
      </c>
      <c r="S62" s="10" t="n">
        <f aca="false">M62*(F62-L62)</f>
        <v>-1831.9392904575</v>
      </c>
      <c r="T62" s="10" t="n">
        <f aca="false">ROUND(P62-(Q62+R62+S62),2)</f>
        <v>0</v>
      </c>
    </row>
    <row r="63" customFormat="false" ht="15" hidden="false" customHeight="true" outlineLevel="0" collapsed="false">
      <c r="A63" s="7" t="s">
        <v>56</v>
      </c>
      <c r="B63" s="7" t="s">
        <v>42</v>
      </c>
      <c r="C63" s="7" t="s">
        <v>68</v>
      </c>
      <c r="D63" s="8" t="n">
        <v>106284.58</v>
      </c>
      <c r="E63" s="9" t="n">
        <v>0.08</v>
      </c>
      <c r="F63" s="9" t="n">
        <v>0.55</v>
      </c>
      <c r="G63" s="10" t="n">
        <f aca="false">D63*(1-E63)</f>
        <v>97781.8136</v>
      </c>
      <c r="H63" s="10" t="n">
        <f aca="false">G63*F63</f>
        <v>53779.99748</v>
      </c>
      <c r="I63" s="10" t="n">
        <f aca="false">G63-H63</f>
        <v>44001.81612</v>
      </c>
      <c r="J63" s="8" t="n">
        <v>99574.45</v>
      </c>
      <c r="K63" s="9" t="n">
        <v>0.0797</v>
      </c>
      <c r="L63" s="9" t="n">
        <v>0.546</v>
      </c>
      <c r="M63" s="10" t="n">
        <f aca="false">J63*(1-K63)</f>
        <v>91638.366335</v>
      </c>
      <c r="N63" s="10" t="n">
        <f aca="false">M63*L63</f>
        <v>50034.54801891</v>
      </c>
      <c r="O63" s="10" t="n">
        <f aca="false">M63-N63</f>
        <v>41603.81831609</v>
      </c>
      <c r="P63" s="10" t="n">
        <f aca="false">O63-I63</f>
        <v>-2397.99780391001</v>
      </c>
      <c r="Q63" s="10" t="n">
        <f aca="false">(J63-D63)*(1-E63)*(1-F63)</f>
        <v>-2777.99382</v>
      </c>
      <c r="R63" s="10" t="n">
        <f aca="false">J63*(E63-K63)*(1-F63)</f>
        <v>13.4425507500004</v>
      </c>
      <c r="S63" s="10" t="n">
        <f aca="false">M63*(F63-L63)</f>
        <v>366.55346534</v>
      </c>
      <c r="T63" s="10" t="n">
        <f aca="false">ROUND(P63-(Q63+R63+S63),2)</f>
        <v>-0</v>
      </c>
    </row>
    <row r="64" customFormat="false" ht="15" hidden="false" customHeight="true" outlineLevel="0" collapsed="false">
      <c r="A64" s="7" t="s">
        <v>57</v>
      </c>
      <c r="B64" s="7" t="s">
        <v>42</v>
      </c>
      <c r="C64" s="7" t="s">
        <v>68</v>
      </c>
      <c r="D64" s="8" t="n">
        <v>115570.48</v>
      </c>
      <c r="E64" s="9" t="n">
        <v>0.08</v>
      </c>
      <c r="F64" s="9" t="n">
        <v>0.55</v>
      </c>
      <c r="G64" s="10" t="n">
        <f aca="false">D64*(1-E64)</f>
        <v>106324.8416</v>
      </c>
      <c r="H64" s="10" t="n">
        <f aca="false">G64*F64</f>
        <v>58478.66288</v>
      </c>
      <c r="I64" s="10" t="n">
        <f aca="false">G64-H64</f>
        <v>47846.17872</v>
      </c>
      <c r="J64" s="8" t="n">
        <v>121808.62</v>
      </c>
      <c r="K64" s="9" t="n">
        <v>0.0829</v>
      </c>
      <c r="L64" s="9" t="n">
        <v>0.5421</v>
      </c>
      <c r="M64" s="10" t="n">
        <f aca="false">J64*(1-K64)</f>
        <v>111710.685402</v>
      </c>
      <c r="N64" s="10" t="n">
        <f aca="false">M64*L64</f>
        <v>60558.3625564242</v>
      </c>
      <c r="O64" s="10" t="n">
        <f aca="false">M64-N64</f>
        <v>51152.3228455758</v>
      </c>
      <c r="P64" s="10" t="n">
        <f aca="false">O64-I64</f>
        <v>3306.1441255758</v>
      </c>
      <c r="Q64" s="10" t="n">
        <f aca="false">(J64-D64)*(1-E64)*(1-F64)</f>
        <v>2582.58996</v>
      </c>
      <c r="R64" s="10" t="n">
        <f aca="false">J64*(E64-K64)*(1-F64)</f>
        <v>-158.9602491</v>
      </c>
      <c r="S64" s="10" t="n">
        <f aca="false">M64*(F64-L64)</f>
        <v>882.514414675802</v>
      </c>
      <c r="T64" s="10" t="n">
        <f aca="false">ROUND(P64-(Q64+R64+S64),2)</f>
        <v>0</v>
      </c>
    </row>
    <row r="65" customFormat="false" ht="15" hidden="false" customHeight="true" outlineLevel="0" collapsed="false">
      <c r="A65" s="7" t="s">
        <v>58</v>
      </c>
      <c r="B65" s="7" t="s">
        <v>42</v>
      </c>
      <c r="C65" s="7" t="s">
        <v>68</v>
      </c>
      <c r="D65" s="8" t="n">
        <v>120077.77</v>
      </c>
      <c r="E65" s="9" t="n">
        <v>0.08</v>
      </c>
      <c r="F65" s="9" t="n">
        <v>0.55</v>
      </c>
      <c r="G65" s="10" t="n">
        <f aca="false">D65*(1-E65)</f>
        <v>110471.5484</v>
      </c>
      <c r="H65" s="10" t="n">
        <f aca="false">G65*F65</f>
        <v>60759.35162</v>
      </c>
      <c r="I65" s="10" t="n">
        <f aca="false">G65-H65</f>
        <v>49712.19678</v>
      </c>
      <c r="J65" s="8" t="n">
        <v>115031.63</v>
      </c>
      <c r="K65" s="9" t="n">
        <v>0.0587</v>
      </c>
      <c r="L65" s="9" t="n">
        <v>0.5416</v>
      </c>
      <c r="M65" s="10" t="n">
        <f aca="false">J65*(1-K65)</f>
        <v>108279.273319</v>
      </c>
      <c r="N65" s="10" t="n">
        <f aca="false">M65*L65</f>
        <v>58644.0544295704</v>
      </c>
      <c r="O65" s="10" t="n">
        <f aca="false">M65-N65</f>
        <v>49635.2188894296</v>
      </c>
      <c r="P65" s="10" t="n">
        <f aca="false">O65-I65</f>
        <v>-76.9778905703861</v>
      </c>
      <c r="Q65" s="10" t="n">
        <f aca="false">(J65-D65)*(1-E65)*(1-F65)</f>
        <v>-2089.10196</v>
      </c>
      <c r="R65" s="10" t="n">
        <f aca="false">J65*(E65-K65)*(1-F65)</f>
        <v>1102.57817355</v>
      </c>
      <c r="S65" s="10" t="n">
        <f aca="false">M65*(F65-L65)</f>
        <v>909.545895879608</v>
      </c>
      <c r="T65" s="10" t="n">
        <f aca="false">ROUND(P65-(Q65+R65+S65),2)</f>
        <v>0</v>
      </c>
    </row>
    <row r="66" customFormat="false" ht="15" hidden="false" customHeight="true" outlineLevel="0" collapsed="false">
      <c r="A66" s="7" t="s">
        <v>59</v>
      </c>
      <c r="B66" s="7" t="s">
        <v>42</v>
      </c>
      <c r="C66" s="7" t="s">
        <v>68</v>
      </c>
      <c r="D66" s="8" t="n">
        <v>123403.54</v>
      </c>
      <c r="E66" s="9" t="n">
        <v>0.08</v>
      </c>
      <c r="F66" s="9" t="n">
        <v>0.55</v>
      </c>
      <c r="G66" s="10" t="n">
        <f aca="false">D66*(1-E66)</f>
        <v>113531.2568</v>
      </c>
      <c r="H66" s="10" t="n">
        <f aca="false">G66*F66</f>
        <v>62442.19124</v>
      </c>
      <c r="I66" s="10" t="n">
        <f aca="false">G66-H66</f>
        <v>51089.06556</v>
      </c>
      <c r="J66" s="8" t="n">
        <v>124638.01</v>
      </c>
      <c r="K66" s="9" t="n">
        <v>0.0887</v>
      </c>
      <c r="L66" s="9" t="n">
        <v>0.5437</v>
      </c>
      <c r="M66" s="10" t="n">
        <f aca="false">J66*(1-K66)</f>
        <v>113582.618513</v>
      </c>
      <c r="N66" s="10" t="n">
        <f aca="false">M66*L66</f>
        <v>61754.8696855181</v>
      </c>
      <c r="O66" s="10" t="n">
        <f aca="false">M66-N66</f>
        <v>51827.7488274819</v>
      </c>
      <c r="P66" s="10" t="n">
        <f aca="false">O66-I66</f>
        <v>738.683267481909</v>
      </c>
      <c r="Q66" s="10" t="n">
        <f aca="false">(J66-D66)*(1-E66)*(1-F66)</f>
        <v>511.07058</v>
      </c>
      <c r="R66" s="10" t="n">
        <f aca="false">J66*(E66-K66)*(1-F66)</f>
        <v>-487.95780915</v>
      </c>
      <c r="S66" s="10" t="n">
        <f aca="false">M66*(F66-L66)</f>
        <v>715.57049663191</v>
      </c>
      <c r="T66" s="10" t="n">
        <f aca="false">ROUND(P66-(Q66+R66+S66),2)</f>
        <v>0</v>
      </c>
    </row>
    <row r="67" customFormat="false" ht="15" hidden="false" customHeight="true" outlineLevel="0" collapsed="false">
      <c r="A67" s="7" t="s">
        <v>60</v>
      </c>
      <c r="B67" s="7" t="s">
        <v>42</v>
      </c>
      <c r="C67" s="7" t="s">
        <v>68</v>
      </c>
      <c r="D67" s="8" t="n">
        <v>126764.32</v>
      </c>
      <c r="E67" s="9" t="n">
        <v>0.08</v>
      </c>
      <c r="F67" s="9" t="n">
        <v>0.55</v>
      </c>
      <c r="G67" s="10" t="n">
        <f aca="false">D67*(1-E67)</f>
        <v>116623.1744</v>
      </c>
      <c r="H67" s="10" t="n">
        <f aca="false">G67*F67</f>
        <v>64142.74592</v>
      </c>
      <c r="I67" s="10" t="n">
        <f aca="false">G67-H67</f>
        <v>52480.42848</v>
      </c>
      <c r="J67" s="8" t="n">
        <v>126137.6</v>
      </c>
      <c r="K67" s="9" t="n">
        <v>0.0718</v>
      </c>
      <c r="L67" s="9" t="n">
        <v>0.5469</v>
      </c>
      <c r="M67" s="10" t="n">
        <f aca="false">J67*(1-K67)</f>
        <v>117080.92032</v>
      </c>
      <c r="N67" s="10" t="n">
        <f aca="false">M67*L67</f>
        <v>64031.555323008</v>
      </c>
      <c r="O67" s="10" t="n">
        <f aca="false">M67-N67</f>
        <v>53049.364996992</v>
      </c>
      <c r="P67" s="10" t="n">
        <f aca="false">O67-I67</f>
        <v>568.936516991991</v>
      </c>
      <c r="Q67" s="10" t="n">
        <f aca="false">(J67-D67)*(1-E67)*(1-F67)</f>
        <v>-259.46208</v>
      </c>
      <c r="R67" s="10" t="n">
        <f aca="false">J67*(E67-K67)*(1-F67)</f>
        <v>465.447744</v>
      </c>
      <c r="S67" s="10" t="n">
        <f aca="false">M67*(F67-L67)</f>
        <v>362.950852991999</v>
      </c>
      <c r="T67" s="10" t="n">
        <f aca="false">ROUND(P67-(Q67+R67+S67),2)</f>
        <v>-0</v>
      </c>
    </row>
    <row r="68" customFormat="false" ht="15" hidden="false" customHeight="true" outlineLevel="0" collapsed="false">
      <c r="A68" s="7" t="s">
        <v>61</v>
      </c>
      <c r="B68" s="7" t="s">
        <v>42</v>
      </c>
      <c r="C68" s="7" t="s">
        <v>68</v>
      </c>
      <c r="D68" s="8" t="n">
        <v>125153.95</v>
      </c>
      <c r="E68" s="9" t="n">
        <v>0.08</v>
      </c>
      <c r="F68" s="9" t="n">
        <v>0.55</v>
      </c>
      <c r="G68" s="10" t="n">
        <f aca="false">D68*(1-E68)</f>
        <v>115141.634</v>
      </c>
      <c r="H68" s="10" t="n">
        <f aca="false">G68*F68</f>
        <v>63327.8987</v>
      </c>
      <c r="I68" s="10" t="n">
        <f aca="false">G68-H68</f>
        <v>51813.7353</v>
      </c>
      <c r="J68" s="8" t="n">
        <v>128124.61</v>
      </c>
      <c r="K68" s="9" t="n">
        <v>0.0682</v>
      </c>
      <c r="L68" s="9" t="n">
        <v>0.5487</v>
      </c>
      <c r="M68" s="10" t="n">
        <f aca="false">J68*(1-K68)</f>
        <v>119386.511598</v>
      </c>
      <c r="N68" s="10" t="n">
        <f aca="false">M68*L68</f>
        <v>65507.3789138226</v>
      </c>
      <c r="O68" s="10" t="n">
        <f aca="false">M68-N68</f>
        <v>53879.1326841774</v>
      </c>
      <c r="P68" s="10" t="n">
        <f aca="false">O68-I68</f>
        <v>2065.39738417741</v>
      </c>
      <c r="Q68" s="10" t="n">
        <f aca="false">(J68-D68)*(1-E68)*(1-F68)</f>
        <v>1229.85324</v>
      </c>
      <c r="R68" s="10" t="n">
        <f aca="false">J68*(E68-K68)*(1-F68)</f>
        <v>680.3416791</v>
      </c>
      <c r="S68" s="10" t="n">
        <f aca="false">M68*(F68-L68)</f>
        <v>155.202465077409</v>
      </c>
      <c r="T68" s="10" t="n">
        <f aca="false">ROUND(P68-(Q68+R68+S68),2)</f>
        <v>0</v>
      </c>
    </row>
    <row r="69" customFormat="false" ht="15" hidden="false" customHeight="true" outlineLevel="0" collapsed="false">
      <c r="A69" s="7" t="s">
        <v>62</v>
      </c>
      <c r="B69" s="7" t="s">
        <v>42</v>
      </c>
      <c r="C69" s="7" t="s">
        <v>68</v>
      </c>
      <c r="D69" s="8" t="n">
        <v>129810.02</v>
      </c>
      <c r="E69" s="9" t="n">
        <v>0.08</v>
      </c>
      <c r="F69" s="9" t="n">
        <v>0.55</v>
      </c>
      <c r="G69" s="10" t="n">
        <f aca="false">D69*(1-E69)</f>
        <v>119425.2184</v>
      </c>
      <c r="H69" s="10" t="n">
        <f aca="false">G69*F69</f>
        <v>65683.87012</v>
      </c>
      <c r="I69" s="10" t="n">
        <f aca="false">G69-H69</f>
        <v>53741.34828</v>
      </c>
      <c r="J69" s="8" t="n">
        <v>141224.22</v>
      </c>
      <c r="K69" s="9" t="n">
        <v>0.0789</v>
      </c>
      <c r="L69" s="9" t="n">
        <v>0.5543</v>
      </c>
      <c r="M69" s="10" t="n">
        <f aca="false">J69*(1-K69)</f>
        <v>130081.629042</v>
      </c>
      <c r="N69" s="10" t="n">
        <f aca="false">M69*L69</f>
        <v>72104.2469779806</v>
      </c>
      <c r="O69" s="10" t="n">
        <f aca="false">M69-N69</f>
        <v>57977.3820640194</v>
      </c>
      <c r="P69" s="10" t="n">
        <f aca="false">O69-I69</f>
        <v>4236.0337840194</v>
      </c>
      <c r="Q69" s="10" t="n">
        <f aca="false">(J69-D69)*(1-E69)*(1-F69)</f>
        <v>4725.4788</v>
      </c>
      <c r="R69" s="10" t="n">
        <f aca="false">J69*(E69-K69)*(1-F69)</f>
        <v>69.9059889000002</v>
      </c>
      <c r="S69" s="10" t="n">
        <f aca="false">M69*(F69-L69)</f>
        <v>-559.351004880596</v>
      </c>
      <c r="T69" s="10" t="n">
        <f aca="false">ROUND(P69-(Q69+R69+S69),2)</f>
        <v>0</v>
      </c>
    </row>
    <row r="70" customFormat="false" ht="15" hidden="false" customHeight="true" outlineLevel="0" collapsed="false">
      <c r="A70" s="7" t="s">
        <v>63</v>
      </c>
      <c r="B70" s="7" t="s">
        <v>42</v>
      </c>
      <c r="C70" s="7" t="s">
        <v>68</v>
      </c>
      <c r="D70" s="8" t="n">
        <v>133249.57</v>
      </c>
      <c r="E70" s="9" t="n">
        <v>0.08</v>
      </c>
      <c r="F70" s="9" t="n">
        <v>0.55</v>
      </c>
      <c r="G70" s="10" t="n">
        <f aca="false">D70*(1-E70)</f>
        <v>122589.6044</v>
      </c>
      <c r="H70" s="10" t="n">
        <f aca="false">G70*F70</f>
        <v>67424.28242</v>
      </c>
      <c r="I70" s="10" t="n">
        <f aca="false">G70-H70</f>
        <v>55165.32198</v>
      </c>
      <c r="J70" s="8" t="n">
        <v>136799.81</v>
      </c>
      <c r="K70" s="9" t="n">
        <v>0.0787</v>
      </c>
      <c r="L70" s="9" t="n">
        <v>0.5549</v>
      </c>
      <c r="M70" s="10" t="n">
        <f aca="false">J70*(1-K70)</f>
        <v>126033.664953</v>
      </c>
      <c r="N70" s="10" t="n">
        <f aca="false">M70*L70</f>
        <v>69936.0806824197</v>
      </c>
      <c r="O70" s="10" t="n">
        <f aca="false">M70-N70</f>
        <v>56097.5842705803</v>
      </c>
      <c r="P70" s="10" t="n">
        <f aca="false">O70-I70</f>
        <v>932.262290580315</v>
      </c>
      <c r="Q70" s="10" t="n">
        <f aca="false">(J70-D70)*(1-E70)*(1-F70)</f>
        <v>1469.79936</v>
      </c>
      <c r="R70" s="10" t="n">
        <f aca="false">J70*(E70-K70)*(1-F70)</f>
        <v>80.0278888499997</v>
      </c>
      <c r="S70" s="10" t="n">
        <f aca="false">M70*(F70-L70)</f>
        <v>-617.564958269688</v>
      </c>
      <c r="T70" s="10" t="n">
        <f aca="false">ROUND(P70-(Q70+R70+S70),2)</f>
        <v>0</v>
      </c>
    </row>
    <row r="71" customFormat="false" ht="15" hidden="false" customHeight="true" outlineLevel="0" collapsed="false">
      <c r="A71" s="7" t="s">
        <v>64</v>
      </c>
      <c r="B71" s="7" t="s">
        <v>42</v>
      </c>
      <c r="C71" s="7" t="s">
        <v>68</v>
      </c>
      <c r="D71" s="8" t="n">
        <v>140557.51</v>
      </c>
      <c r="E71" s="9" t="n">
        <v>0.08</v>
      </c>
      <c r="F71" s="9" t="n">
        <v>0.55</v>
      </c>
      <c r="G71" s="10" t="n">
        <f aca="false">D71*(1-E71)</f>
        <v>129312.9092</v>
      </c>
      <c r="H71" s="10" t="n">
        <f aca="false">G71*F71</f>
        <v>71122.10006</v>
      </c>
      <c r="I71" s="10" t="n">
        <f aca="false">G71-H71</f>
        <v>58190.80914</v>
      </c>
      <c r="J71" s="8" t="n">
        <v>139724.21</v>
      </c>
      <c r="K71" s="9" t="n">
        <v>0.0798</v>
      </c>
      <c r="L71" s="9" t="n">
        <v>0.5589</v>
      </c>
      <c r="M71" s="10" t="n">
        <f aca="false">J71*(1-K71)</f>
        <v>128574.218042</v>
      </c>
      <c r="N71" s="10" t="n">
        <f aca="false">M71*L71</f>
        <v>71860.1304636738</v>
      </c>
      <c r="O71" s="10" t="n">
        <f aca="false">M71-N71</f>
        <v>56714.0875783262</v>
      </c>
      <c r="P71" s="10" t="n">
        <f aca="false">O71-I71</f>
        <v>-1476.7215616738</v>
      </c>
      <c r="Q71" s="10" t="n">
        <f aca="false">(J71-D71)*(1-E71)*(1-F71)</f>
        <v>-344.986200000007</v>
      </c>
      <c r="R71" s="10" t="n">
        <f aca="false">J71*(E71-K71)*(1-F71)</f>
        <v>12.5751789000004</v>
      </c>
      <c r="S71" s="10" t="n">
        <f aca="false">M71*(F71-L71)</f>
        <v>-1144.31054057379</v>
      </c>
      <c r="T71" s="10" t="n">
        <f aca="false">ROUND(P71-(Q71+R71+S71),2)</f>
        <v>0</v>
      </c>
    </row>
    <row r="72" customFormat="false" ht="15" hidden="false" customHeight="true" outlineLevel="0" collapsed="false">
      <c r="A72" s="7" t="s">
        <v>65</v>
      </c>
      <c r="B72" s="7" t="s">
        <v>42</v>
      </c>
      <c r="C72" s="7" t="s">
        <v>68</v>
      </c>
      <c r="D72" s="8" t="n">
        <v>167251.18</v>
      </c>
      <c r="E72" s="9" t="n">
        <v>0.08</v>
      </c>
      <c r="F72" s="9" t="n">
        <v>0.55</v>
      </c>
      <c r="G72" s="10" t="n">
        <f aca="false">D72*(1-E72)</f>
        <v>153871.0856</v>
      </c>
      <c r="H72" s="10" t="n">
        <f aca="false">G72*F72</f>
        <v>84629.09708</v>
      </c>
      <c r="I72" s="10" t="n">
        <f aca="false">G72-H72</f>
        <v>69241.98852</v>
      </c>
      <c r="J72" s="8" t="n">
        <v>172850.4</v>
      </c>
      <c r="K72" s="9" t="n">
        <v>0.0704</v>
      </c>
      <c r="L72" s="9" t="n">
        <v>0.5463</v>
      </c>
      <c r="M72" s="10" t="n">
        <f aca="false">J72*(1-K72)</f>
        <v>160681.73184</v>
      </c>
      <c r="N72" s="10" t="n">
        <f aca="false">M72*L72</f>
        <v>87780.430104192</v>
      </c>
      <c r="O72" s="10" t="n">
        <f aca="false">M72-N72</f>
        <v>72901.301735808</v>
      </c>
      <c r="P72" s="10" t="n">
        <f aca="false">O72-I72</f>
        <v>3659.31321580801</v>
      </c>
      <c r="Q72" s="10" t="n">
        <f aca="false">(J72-D72)*(1-E72)*(1-F72)</f>
        <v>2318.07708</v>
      </c>
      <c r="R72" s="10" t="n">
        <f aca="false">J72*(E72-K72)*(1-F72)</f>
        <v>746.713728</v>
      </c>
      <c r="S72" s="10" t="n">
        <f aca="false">M72*(F72-L72)</f>
        <v>594.522407808006</v>
      </c>
      <c r="T72" s="10" t="n">
        <f aca="false">ROUND(P72-(Q72+R72+S72),2)</f>
        <v>0</v>
      </c>
    </row>
    <row r="73" customFormat="false" ht="15" hidden="false" customHeight="true" outlineLevel="0" collapsed="false">
      <c r="A73" s="7" t="s">
        <v>66</v>
      </c>
      <c r="B73" s="7" t="s">
        <v>42</v>
      </c>
      <c r="C73" s="7" t="s">
        <v>68</v>
      </c>
      <c r="D73" s="8" t="n">
        <v>158026.55</v>
      </c>
      <c r="E73" s="9" t="n">
        <v>0.08</v>
      </c>
      <c r="F73" s="9" t="n">
        <v>0.55</v>
      </c>
      <c r="G73" s="10" t="n">
        <f aca="false">D73*(1-E73)</f>
        <v>145384.426</v>
      </c>
      <c r="H73" s="10" t="n">
        <f aca="false">G73*F73</f>
        <v>79961.4343</v>
      </c>
      <c r="I73" s="10" t="n">
        <f aca="false">G73-H73</f>
        <v>65422.9917</v>
      </c>
      <c r="J73" s="8" t="n">
        <v>158942.21</v>
      </c>
      <c r="K73" s="9" t="n">
        <v>0.0854</v>
      </c>
      <c r="L73" s="9" t="n">
        <v>0.5594</v>
      </c>
      <c r="M73" s="10" t="n">
        <f aca="false">J73*(1-K73)</f>
        <v>145368.545266</v>
      </c>
      <c r="N73" s="10" t="n">
        <f aca="false">M73*L73</f>
        <v>81319.1642218004</v>
      </c>
      <c r="O73" s="10" t="n">
        <f aca="false">M73-N73</f>
        <v>64049.3810441996</v>
      </c>
      <c r="P73" s="10" t="n">
        <f aca="false">O73-I73</f>
        <v>-1373.6106558004</v>
      </c>
      <c r="Q73" s="10" t="n">
        <f aca="false">(J73-D73)*(1-E73)*(1-F73)</f>
        <v>379.083240000001</v>
      </c>
      <c r="R73" s="10" t="n">
        <f aca="false">J73*(E73-K73)*(1-F73)</f>
        <v>-386.2295703</v>
      </c>
      <c r="S73" s="10" t="n">
        <f aca="false">M73*(F73-L73)</f>
        <v>-1366.46432550039</v>
      </c>
      <c r="T73" s="10" t="n">
        <f aca="false">ROUND(P73-(Q73+R73+S73),2)</f>
        <v>0</v>
      </c>
    </row>
    <row r="74" customFormat="false" ht="15" hidden="false" customHeight="true" outlineLevel="0" collapsed="false">
      <c r="A74" s="7" t="s">
        <v>41</v>
      </c>
      <c r="B74" s="7" t="s">
        <v>42</v>
      </c>
      <c r="C74" s="7" t="s">
        <v>69</v>
      </c>
      <c r="D74" s="8" t="n">
        <v>91144.89</v>
      </c>
      <c r="E74" s="9" t="n">
        <v>0.11</v>
      </c>
      <c r="F74" s="9" t="n">
        <v>0.54</v>
      </c>
      <c r="G74" s="10" t="n">
        <f aca="false">D74*(1-E74)</f>
        <v>81118.9521</v>
      </c>
      <c r="H74" s="10" t="n">
        <f aca="false">G74*F74</f>
        <v>43804.234134</v>
      </c>
      <c r="I74" s="10" t="n">
        <f aca="false">G74-H74</f>
        <v>37314.717966</v>
      </c>
      <c r="J74" s="8" t="n">
        <v>83608.3</v>
      </c>
      <c r="K74" s="9" t="n">
        <v>0.0877</v>
      </c>
      <c r="L74" s="9" t="n">
        <v>0.5377</v>
      </c>
      <c r="M74" s="10" t="n">
        <f aca="false">J74*(1-K74)</f>
        <v>76275.85209</v>
      </c>
      <c r="N74" s="10" t="n">
        <f aca="false">M74*L74</f>
        <v>41013.525668793</v>
      </c>
      <c r="O74" s="10" t="n">
        <f aca="false">M74-N74</f>
        <v>35262.326421207</v>
      </c>
      <c r="P74" s="10" t="n">
        <f aca="false">O74-I74</f>
        <v>-2052.39154479299</v>
      </c>
      <c r="Q74" s="10" t="n">
        <f aca="false">(J74-D74)*(1-E74)*(1-F74)</f>
        <v>-3085.479946</v>
      </c>
      <c r="R74" s="10" t="n">
        <f aca="false">J74*(E74-K74)*(1-F74)</f>
        <v>857.6539414</v>
      </c>
      <c r="S74" s="10" t="n">
        <f aca="false">M74*(F74-L74)</f>
        <v>175.434459807006</v>
      </c>
      <c r="T74" s="10" t="n">
        <f aca="false">ROUND(P74-(Q74+R74+S74),2)</f>
        <v>0</v>
      </c>
    </row>
    <row r="75" customFormat="false" ht="15" hidden="false" customHeight="true" outlineLevel="0" collapsed="false">
      <c r="A75" s="7" t="s">
        <v>44</v>
      </c>
      <c r="B75" s="7" t="s">
        <v>42</v>
      </c>
      <c r="C75" s="7" t="s">
        <v>69</v>
      </c>
      <c r="D75" s="8" t="n">
        <v>89832.4</v>
      </c>
      <c r="E75" s="9" t="n">
        <v>0.11</v>
      </c>
      <c r="F75" s="9" t="n">
        <v>0.54</v>
      </c>
      <c r="G75" s="10" t="n">
        <f aca="false">D75*(1-E75)</f>
        <v>79950.836</v>
      </c>
      <c r="H75" s="10" t="n">
        <f aca="false">G75*F75</f>
        <v>43173.45144</v>
      </c>
      <c r="I75" s="10" t="n">
        <f aca="false">G75-H75</f>
        <v>36777.38456</v>
      </c>
      <c r="J75" s="8" t="n">
        <v>81697.42</v>
      </c>
      <c r="K75" s="9" t="n">
        <v>0.0949</v>
      </c>
      <c r="L75" s="9" t="n">
        <v>0.5425</v>
      </c>
      <c r="M75" s="10" t="n">
        <f aca="false">J75*(1-K75)</f>
        <v>73944.334842</v>
      </c>
      <c r="N75" s="10" t="n">
        <f aca="false">M75*L75</f>
        <v>40114.801651785</v>
      </c>
      <c r="O75" s="10" t="n">
        <f aca="false">M75-N75</f>
        <v>33829.533190215</v>
      </c>
      <c r="P75" s="10" t="n">
        <f aca="false">O75-I75</f>
        <v>-2947.851369785</v>
      </c>
      <c r="Q75" s="10" t="n">
        <f aca="false">(J75-D75)*(1-E75)*(1-F75)</f>
        <v>-3330.460812</v>
      </c>
      <c r="R75" s="10" t="n">
        <f aca="false">J75*(E75-K75)*(1-F75)</f>
        <v>567.47027932</v>
      </c>
      <c r="S75" s="10" t="n">
        <f aca="false">M75*(F75-L75)</f>
        <v>-184.860837104996</v>
      </c>
      <c r="T75" s="10" t="n">
        <f aca="false">ROUND(P75-(Q75+R75+S75),2)</f>
        <v>0</v>
      </c>
    </row>
    <row r="76" customFormat="false" ht="15" hidden="false" customHeight="true" outlineLevel="0" collapsed="false">
      <c r="A76" s="7" t="s">
        <v>45</v>
      </c>
      <c r="B76" s="7" t="s">
        <v>42</v>
      </c>
      <c r="C76" s="7" t="s">
        <v>69</v>
      </c>
      <c r="D76" s="8" t="n">
        <v>97747.83</v>
      </c>
      <c r="E76" s="9" t="n">
        <v>0.11</v>
      </c>
      <c r="F76" s="9" t="n">
        <v>0.54</v>
      </c>
      <c r="G76" s="10" t="n">
        <f aca="false">D76*(1-E76)</f>
        <v>86995.5687</v>
      </c>
      <c r="H76" s="10" t="n">
        <f aca="false">G76*F76</f>
        <v>46977.607098</v>
      </c>
      <c r="I76" s="10" t="n">
        <f aca="false">G76-H76</f>
        <v>40017.961602</v>
      </c>
      <c r="J76" s="8" t="n">
        <v>95141.1</v>
      </c>
      <c r="K76" s="9" t="n">
        <v>0.1086</v>
      </c>
      <c r="L76" s="9" t="n">
        <v>0.5423</v>
      </c>
      <c r="M76" s="10" t="n">
        <f aca="false">J76*(1-K76)</f>
        <v>84808.77654</v>
      </c>
      <c r="N76" s="10" t="n">
        <f aca="false">M76*L76</f>
        <v>45991.799517642</v>
      </c>
      <c r="O76" s="10" t="n">
        <f aca="false">M76-N76</f>
        <v>38816.977022358</v>
      </c>
      <c r="P76" s="10" t="n">
        <f aca="false">O76-I76</f>
        <v>-1200.98457964199</v>
      </c>
      <c r="Q76" s="10" t="n">
        <f aca="false">(J76-D76)*(1-E76)*(1-F76)</f>
        <v>-1067.195262</v>
      </c>
      <c r="R76" s="10" t="n">
        <f aca="false">J76*(E76-K76)*(1-F76)</f>
        <v>61.2708683999999</v>
      </c>
      <c r="S76" s="10" t="n">
        <f aca="false">M76*(F76-L76)</f>
        <v>-195.060186041997</v>
      </c>
      <c r="T76" s="10" t="n">
        <f aca="false">ROUND(P76-(Q76+R76+S76),2)</f>
        <v>0</v>
      </c>
    </row>
    <row r="77" customFormat="false" ht="15" hidden="false" customHeight="true" outlineLevel="0" collapsed="false">
      <c r="A77" s="7" t="s">
        <v>46</v>
      </c>
      <c r="B77" s="7" t="s">
        <v>42</v>
      </c>
      <c r="C77" s="7" t="s">
        <v>69</v>
      </c>
      <c r="D77" s="8" t="n">
        <v>101628.58</v>
      </c>
      <c r="E77" s="9" t="n">
        <v>0.11</v>
      </c>
      <c r="F77" s="9" t="n">
        <v>0.54</v>
      </c>
      <c r="G77" s="10" t="n">
        <f aca="false">D77*(1-E77)</f>
        <v>90449.4362</v>
      </c>
      <c r="H77" s="10" t="n">
        <f aca="false">G77*F77</f>
        <v>48842.695548</v>
      </c>
      <c r="I77" s="10" t="n">
        <f aca="false">G77-H77</f>
        <v>41606.740652</v>
      </c>
      <c r="J77" s="8" t="n">
        <v>111745.3</v>
      </c>
      <c r="K77" s="9" t="n">
        <v>0.1199</v>
      </c>
      <c r="L77" s="9" t="n">
        <v>0.5448</v>
      </c>
      <c r="M77" s="10" t="n">
        <f aca="false">J77*(1-K77)</f>
        <v>98347.03853</v>
      </c>
      <c r="N77" s="10" t="n">
        <f aca="false">M77*L77</f>
        <v>53579.466591144</v>
      </c>
      <c r="O77" s="10" t="n">
        <f aca="false">M77-N77</f>
        <v>44767.571938856</v>
      </c>
      <c r="P77" s="10" t="n">
        <f aca="false">O77-I77</f>
        <v>3160.83128685602</v>
      </c>
      <c r="Q77" s="10" t="n">
        <f aca="false">(J77-D77)*(1-E77)*(1-F77)</f>
        <v>4141.785168</v>
      </c>
      <c r="R77" s="10" t="n">
        <f aca="false">J77*(E77-K77)*(1-F77)</f>
        <v>-508.8880962</v>
      </c>
      <c r="S77" s="10" t="n">
        <f aca="false">M77*(F77-L77)</f>
        <v>-472.065784943992</v>
      </c>
      <c r="T77" s="10" t="n">
        <f aca="false">ROUND(P77-(Q77+R77+S77),2)</f>
        <v>0</v>
      </c>
    </row>
    <row r="78" customFormat="false" ht="15" hidden="false" customHeight="true" outlineLevel="0" collapsed="false">
      <c r="A78" s="7" t="s">
        <v>47</v>
      </c>
      <c r="B78" s="7" t="s">
        <v>42</v>
      </c>
      <c r="C78" s="7" t="s">
        <v>69</v>
      </c>
      <c r="D78" s="8" t="n">
        <v>104512.81</v>
      </c>
      <c r="E78" s="9" t="n">
        <v>0.11</v>
      </c>
      <c r="F78" s="9" t="n">
        <v>0.54</v>
      </c>
      <c r="G78" s="10" t="n">
        <f aca="false">D78*(1-E78)</f>
        <v>93016.4009</v>
      </c>
      <c r="H78" s="10" t="n">
        <f aca="false">G78*F78</f>
        <v>50228.856486</v>
      </c>
      <c r="I78" s="10" t="n">
        <f aca="false">G78-H78</f>
        <v>42787.544414</v>
      </c>
      <c r="J78" s="8" t="n">
        <v>103044.43</v>
      </c>
      <c r="K78" s="9" t="n">
        <v>0.1137</v>
      </c>
      <c r="L78" s="9" t="n">
        <v>0.5412</v>
      </c>
      <c r="M78" s="10" t="n">
        <f aca="false">J78*(1-K78)</f>
        <v>91328.278309</v>
      </c>
      <c r="N78" s="10" t="n">
        <f aca="false">M78*L78</f>
        <v>49426.8642208308</v>
      </c>
      <c r="O78" s="10" t="n">
        <f aca="false">M78-N78</f>
        <v>41901.4140881692</v>
      </c>
      <c r="P78" s="10" t="n">
        <f aca="false">O78-I78</f>
        <v>-886.130325830804</v>
      </c>
      <c r="Q78" s="10" t="n">
        <f aca="false">(J78-D78)*(1-E78)*(1-F78)</f>
        <v>-601.154772000002</v>
      </c>
      <c r="R78" s="10" t="n">
        <f aca="false">J78*(E78-K78)*(1-F78)</f>
        <v>-175.38161986</v>
      </c>
      <c r="S78" s="10" t="n">
        <f aca="false">M78*(F78-L78)</f>
        <v>-109.593933970798</v>
      </c>
      <c r="T78" s="10" t="n">
        <f aca="false">ROUND(P78-(Q78+R78+S78),2)</f>
        <v>-0</v>
      </c>
    </row>
    <row r="79" customFormat="false" ht="15" hidden="false" customHeight="true" outlineLevel="0" collapsed="false">
      <c r="A79" s="7" t="s">
        <v>48</v>
      </c>
      <c r="B79" s="7" t="s">
        <v>42</v>
      </c>
      <c r="C79" s="7" t="s">
        <v>69</v>
      </c>
      <c r="D79" s="8" t="n">
        <v>107429.44</v>
      </c>
      <c r="E79" s="9" t="n">
        <v>0.11</v>
      </c>
      <c r="F79" s="9" t="n">
        <v>0.54</v>
      </c>
      <c r="G79" s="10" t="n">
        <f aca="false">D79*(1-E79)</f>
        <v>95612.2016</v>
      </c>
      <c r="H79" s="10" t="n">
        <f aca="false">G79*F79</f>
        <v>51630.588864</v>
      </c>
      <c r="I79" s="10" t="n">
        <f aca="false">G79-H79</f>
        <v>43981.612736</v>
      </c>
      <c r="J79" s="8" t="n">
        <v>110950.1</v>
      </c>
      <c r="K79" s="9" t="n">
        <v>0.1134</v>
      </c>
      <c r="L79" s="9" t="n">
        <v>0.5332</v>
      </c>
      <c r="M79" s="10" t="n">
        <f aca="false">J79*(1-K79)</f>
        <v>98368.35866</v>
      </c>
      <c r="N79" s="10" t="n">
        <f aca="false">M79*L79</f>
        <v>52450.008837512</v>
      </c>
      <c r="O79" s="10" t="n">
        <f aca="false">M79-N79</f>
        <v>45918.349822488</v>
      </c>
      <c r="P79" s="10" t="n">
        <f aca="false">O79-I79</f>
        <v>1936.73708648801</v>
      </c>
      <c r="Q79" s="10" t="n">
        <f aca="false">(J79-D79)*(1-E79)*(1-F79)</f>
        <v>1441.358204</v>
      </c>
      <c r="R79" s="10" t="n">
        <f aca="false">J79*(E79-K79)*(1-F79)</f>
        <v>-173.5259564</v>
      </c>
      <c r="S79" s="10" t="n">
        <f aca="false">M79*(F79-L79)</f>
        <v>668.904838888003</v>
      </c>
      <c r="T79" s="10" t="n">
        <f aca="false">ROUND(P79-(Q79+R79+S79),2)</f>
        <v>0</v>
      </c>
    </row>
    <row r="80" customFormat="false" ht="15" hidden="false" customHeight="true" outlineLevel="0" collapsed="false">
      <c r="A80" s="7" t="s">
        <v>49</v>
      </c>
      <c r="B80" s="7" t="s">
        <v>42</v>
      </c>
      <c r="C80" s="7" t="s">
        <v>69</v>
      </c>
      <c r="D80" s="8" t="n">
        <v>106133.16</v>
      </c>
      <c r="E80" s="9" t="n">
        <v>0.11</v>
      </c>
      <c r="F80" s="9" t="n">
        <v>0.54</v>
      </c>
      <c r="G80" s="10" t="n">
        <f aca="false">D80*(1-E80)</f>
        <v>94458.5124</v>
      </c>
      <c r="H80" s="10" t="n">
        <f aca="false">G80*F80</f>
        <v>51007.596696</v>
      </c>
      <c r="I80" s="10" t="n">
        <f aca="false">G80-H80</f>
        <v>43450.915704</v>
      </c>
      <c r="J80" s="8" t="n">
        <v>112911.67</v>
      </c>
      <c r="K80" s="9" t="n">
        <v>0.1294</v>
      </c>
      <c r="L80" s="9" t="n">
        <v>0.537</v>
      </c>
      <c r="M80" s="10" t="n">
        <f aca="false">J80*(1-K80)</f>
        <v>98300.899902</v>
      </c>
      <c r="N80" s="10" t="n">
        <f aca="false">M80*L80</f>
        <v>52787.583247374</v>
      </c>
      <c r="O80" s="10" t="n">
        <f aca="false">M80-N80</f>
        <v>45513.316654626</v>
      </c>
      <c r="P80" s="10" t="n">
        <f aca="false">O80-I80</f>
        <v>2062.400950626</v>
      </c>
      <c r="Q80" s="10" t="n">
        <f aca="false">(J80-D80)*(1-E80)*(1-F80)</f>
        <v>2775.121994</v>
      </c>
      <c r="R80" s="10" t="n">
        <f aca="false">J80*(E80-K80)*(1-F80)</f>
        <v>-1007.62374308</v>
      </c>
      <c r="S80" s="10" t="n">
        <f aca="false">M80*(F80-L80)</f>
        <v>294.902699706</v>
      </c>
      <c r="T80" s="10" t="n">
        <f aca="false">ROUND(P80-(Q80+R80+S80),2)</f>
        <v>0</v>
      </c>
    </row>
    <row r="81" customFormat="false" ht="15" hidden="false" customHeight="true" outlineLevel="0" collapsed="false">
      <c r="A81" s="7" t="s">
        <v>50</v>
      </c>
      <c r="B81" s="7" t="s">
        <v>42</v>
      </c>
      <c r="C81" s="7" t="s">
        <v>69</v>
      </c>
      <c r="D81" s="8" t="n">
        <v>110151.64</v>
      </c>
      <c r="E81" s="9" t="n">
        <v>0.11</v>
      </c>
      <c r="F81" s="9" t="n">
        <v>0.54</v>
      </c>
      <c r="G81" s="10" t="n">
        <f aca="false">D81*(1-E81)</f>
        <v>98034.9596</v>
      </c>
      <c r="H81" s="10" t="n">
        <f aca="false">G81*F81</f>
        <v>52938.878184</v>
      </c>
      <c r="I81" s="10" t="n">
        <f aca="false">G81-H81</f>
        <v>45096.081416</v>
      </c>
      <c r="J81" s="8" t="n">
        <v>102824.76</v>
      </c>
      <c r="K81" s="9" t="n">
        <v>0.0951</v>
      </c>
      <c r="L81" s="9" t="n">
        <v>0.53</v>
      </c>
      <c r="M81" s="10" t="n">
        <f aca="false">J81*(1-K81)</f>
        <v>93046.125324</v>
      </c>
      <c r="N81" s="10" t="n">
        <f aca="false">M81*L81</f>
        <v>49314.44642172</v>
      </c>
      <c r="O81" s="10" t="n">
        <f aca="false">M81-N81</f>
        <v>43731.67890228</v>
      </c>
      <c r="P81" s="10" t="n">
        <f aca="false">O81-I81</f>
        <v>-1364.40251372001</v>
      </c>
      <c r="Q81" s="10" t="n">
        <f aca="false">(J81-D81)*(1-E81)*(1-F81)</f>
        <v>-2999.624672</v>
      </c>
      <c r="R81" s="10" t="n">
        <f aca="false">J81*(E81-K81)*(1-F81)</f>
        <v>704.76090504</v>
      </c>
      <c r="S81" s="10" t="n">
        <f aca="false">M81*(F81-L81)</f>
        <v>930.461253240001</v>
      </c>
      <c r="T81" s="10" t="n">
        <f aca="false">ROUND(P81-(Q81+R81+S81),2)</f>
        <v>-0</v>
      </c>
    </row>
    <row r="82" customFormat="false" ht="15" hidden="false" customHeight="true" outlineLevel="0" collapsed="false">
      <c r="A82" s="7" t="s">
        <v>51</v>
      </c>
      <c r="B82" s="7" t="s">
        <v>42</v>
      </c>
      <c r="C82" s="7" t="s">
        <v>69</v>
      </c>
      <c r="D82" s="8" t="n">
        <v>113141.19</v>
      </c>
      <c r="E82" s="9" t="n">
        <v>0.11</v>
      </c>
      <c r="F82" s="9" t="n">
        <v>0.54</v>
      </c>
      <c r="G82" s="10" t="n">
        <f aca="false">D82*(1-E82)</f>
        <v>100695.6591</v>
      </c>
      <c r="H82" s="10" t="n">
        <f aca="false">G82*F82</f>
        <v>54375.655914</v>
      </c>
      <c r="I82" s="10" t="n">
        <f aca="false">G82-H82</f>
        <v>46320.003186</v>
      </c>
      <c r="J82" s="8" t="n">
        <v>120765.92</v>
      </c>
      <c r="K82" s="9" t="n">
        <v>0.1046</v>
      </c>
      <c r="L82" s="9" t="n">
        <v>0.5478</v>
      </c>
      <c r="M82" s="10" t="n">
        <f aca="false">J82*(1-K82)</f>
        <v>108133.804768</v>
      </c>
      <c r="N82" s="10" t="n">
        <f aca="false">M82*L82</f>
        <v>59235.6982519104</v>
      </c>
      <c r="O82" s="10" t="n">
        <f aca="false">M82-N82</f>
        <v>48898.1065160896</v>
      </c>
      <c r="P82" s="10" t="n">
        <f aca="false">O82-I82</f>
        <v>2578.1033300896</v>
      </c>
      <c r="Q82" s="10" t="n">
        <f aca="false">(J82-D82)*(1-E82)*(1-F82)</f>
        <v>3121.564462</v>
      </c>
      <c r="R82" s="10" t="n">
        <f aca="false">J82*(E82-K82)*(1-F82)</f>
        <v>299.98254528</v>
      </c>
      <c r="S82" s="10" t="n">
        <f aca="false">M82*(F82-L82)</f>
        <v>-843.443677190391</v>
      </c>
      <c r="T82" s="10" t="n">
        <f aca="false">ROUND(P82-(Q82+R82+S82),2)</f>
        <v>0</v>
      </c>
    </row>
    <row r="83" customFormat="false" ht="15" hidden="false" customHeight="true" outlineLevel="0" collapsed="false">
      <c r="A83" s="7" t="s">
        <v>52</v>
      </c>
      <c r="B83" s="7" t="s">
        <v>42</v>
      </c>
      <c r="C83" s="7" t="s">
        <v>69</v>
      </c>
      <c r="D83" s="8" t="n">
        <v>119420.06</v>
      </c>
      <c r="E83" s="9" t="n">
        <v>0.11</v>
      </c>
      <c r="F83" s="9" t="n">
        <v>0.54</v>
      </c>
      <c r="G83" s="10" t="n">
        <f aca="false">D83*(1-E83)</f>
        <v>106283.8534</v>
      </c>
      <c r="H83" s="10" t="n">
        <f aca="false">G83*F83</f>
        <v>57393.280836</v>
      </c>
      <c r="I83" s="10" t="n">
        <f aca="false">G83-H83</f>
        <v>48890.572564</v>
      </c>
      <c r="J83" s="8" t="n">
        <v>124501.29</v>
      </c>
      <c r="K83" s="9" t="n">
        <v>0.1083</v>
      </c>
      <c r="L83" s="9" t="n">
        <v>0.5395</v>
      </c>
      <c r="M83" s="10" t="n">
        <f aca="false">J83*(1-K83)</f>
        <v>111017.800293</v>
      </c>
      <c r="N83" s="10" t="n">
        <f aca="false">M83*L83</f>
        <v>59894.1032580735</v>
      </c>
      <c r="O83" s="10" t="n">
        <f aca="false">M83-N83</f>
        <v>51123.6970349265</v>
      </c>
      <c r="P83" s="10" t="n">
        <f aca="false">O83-I83</f>
        <v>2233.12447092651</v>
      </c>
      <c r="Q83" s="10" t="n">
        <f aca="false">(J83-D83)*(1-E83)*(1-F83)</f>
        <v>2080.255562</v>
      </c>
      <c r="R83" s="10" t="n">
        <f aca="false">J83*(E83-K83)*(1-F83)</f>
        <v>97.3600087800004</v>
      </c>
      <c r="S83" s="10" t="n">
        <f aca="false">M83*(F83-L83)</f>
        <v>55.5089001465062</v>
      </c>
      <c r="T83" s="10" t="n">
        <f aca="false">ROUND(P83-(Q83+R83+S83),2)</f>
        <v>0</v>
      </c>
    </row>
    <row r="84" customFormat="false" ht="15" hidden="false" customHeight="true" outlineLevel="0" collapsed="false">
      <c r="A84" s="7" t="s">
        <v>53</v>
      </c>
      <c r="B84" s="7" t="s">
        <v>42</v>
      </c>
      <c r="C84" s="7" t="s">
        <v>69</v>
      </c>
      <c r="D84" s="8" t="n">
        <v>142186.03</v>
      </c>
      <c r="E84" s="9" t="n">
        <v>0.11</v>
      </c>
      <c r="F84" s="9" t="n">
        <v>0.54</v>
      </c>
      <c r="G84" s="10" t="n">
        <f aca="false">D84*(1-E84)</f>
        <v>126545.5667</v>
      </c>
      <c r="H84" s="10" t="n">
        <f aca="false">G84*F84</f>
        <v>68334.606018</v>
      </c>
      <c r="I84" s="10" t="n">
        <f aca="false">G84-H84</f>
        <v>58210.960682</v>
      </c>
      <c r="J84" s="8" t="n">
        <v>145986.98</v>
      </c>
      <c r="K84" s="9" t="n">
        <v>0.1188</v>
      </c>
      <c r="L84" s="9" t="n">
        <v>0.5481</v>
      </c>
      <c r="M84" s="10" t="n">
        <f aca="false">J84*(1-K84)</f>
        <v>128643.726776</v>
      </c>
      <c r="N84" s="10" t="n">
        <f aca="false">M84*L84</f>
        <v>70509.6266459256</v>
      </c>
      <c r="O84" s="10" t="n">
        <f aca="false">M84-N84</f>
        <v>58134.1001300744</v>
      </c>
      <c r="P84" s="10" t="n">
        <f aca="false">O84-I84</f>
        <v>-76.8605519255943</v>
      </c>
      <c r="Q84" s="10" t="n">
        <f aca="false">(J84-D84)*(1-E84)*(1-F84)</f>
        <v>1556.10893</v>
      </c>
      <c r="R84" s="10" t="n">
        <f aca="false">J84*(E84-K84)*(1-F84)</f>
        <v>-590.95529504</v>
      </c>
      <c r="S84" s="10" t="n">
        <f aca="false">M84*(F84-L84)</f>
        <v>-1042.0141868856</v>
      </c>
      <c r="T84" s="10" t="n">
        <f aca="false">ROUND(P84-(Q84+R84+S84),2)</f>
        <v>0</v>
      </c>
    </row>
    <row r="85" customFormat="false" ht="15" hidden="false" customHeight="true" outlineLevel="0" collapsed="false">
      <c r="A85" s="7" t="s">
        <v>54</v>
      </c>
      <c r="B85" s="7" t="s">
        <v>42</v>
      </c>
      <c r="C85" s="7" t="s">
        <v>69</v>
      </c>
      <c r="D85" s="8" t="n">
        <v>134424.53</v>
      </c>
      <c r="E85" s="9" t="n">
        <v>0.11</v>
      </c>
      <c r="F85" s="9" t="n">
        <v>0.54</v>
      </c>
      <c r="G85" s="10" t="n">
        <f aca="false">D85*(1-E85)</f>
        <v>119637.8317</v>
      </c>
      <c r="H85" s="10" t="n">
        <f aca="false">G85*F85</f>
        <v>64604.429118</v>
      </c>
      <c r="I85" s="10" t="n">
        <f aca="false">G85-H85</f>
        <v>55033.402582</v>
      </c>
      <c r="J85" s="8" t="n">
        <v>140868.44</v>
      </c>
      <c r="K85" s="9" t="n">
        <v>0.0925</v>
      </c>
      <c r="L85" s="9" t="n">
        <v>0.537</v>
      </c>
      <c r="M85" s="10" t="n">
        <f aca="false">J85*(1-K85)</f>
        <v>127838.1093</v>
      </c>
      <c r="N85" s="10" t="n">
        <f aca="false">M85*L85</f>
        <v>68649.0646941</v>
      </c>
      <c r="O85" s="10" t="n">
        <f aca="false">M85-N85</f>
        <v>59189.0446059</v>
      </c>
      <c r="P85" s="10" t="n">
        <f aca="false">O85-I85</f>
        <v>4155.6420239</v>
      </c>
      <c r="Q85" s="10" t="n">
        <f aca="false">(J85-D85)*(1-E85)*(1-F85)</f>
        <v>2638.136754</v>
      </c>
      <c r="R85" s="10" t="n">
        <f aca="false">J85*(E85-K85)*(1-F85)</f>
        <v>1133.990942</v>
      </c>
      <c r="S85" s="10" t="n">
        <f aca="false">M85*(F85-L85)</f>
        <v>383.5143279</v>
      </c>
      <c r="T85" s="10" t="n">
        <f aca="false">ROUND(P85-(Q85+R85+S85),2)</f>
        <v>0</v>
      </c>
    </row>
    <row r="86" customFormat="false" ht="15" hidden="false" customHeight="true" outlineLevel="0" collapsed="false">
      <c r="A86" s="7" t="s">
        <v>55</v>
      </c>
      <c r="B86" s="7" t="s">
        <v>42</v>
      </c>
      <c r="C86" s="7" t="s">
        <v>69</v>
      </c>
      <c r="D86" s="8" t="n">
        <v>99894.8</v>
      </c>
      <c r="E86" s="9" t="n">
        <v>0.11</v>
      </c>
      <c r="F86" s="9" t="n">
        <v>0.54</v>
      </c>
      <c r="G86" s="10" t="n">
        <f aca="false">D86*(1-E86)</f>
        <v>88906.372</v>
      </c>
      <c r="H86" s="10" t="n">
        <f aca="false">G86*F86</f>
        <v>48009.44088</v>
      </c>
      <c r="I86" s="10" t="n">
        <f aca="false">G86-H86</f>
        <v>40896.93112</v>
      </c>
      <c r="J86" s="8" t="n">
        <v>89549.74</v>
      </c>
      <c r="K86" s="9" t="n">
        <v>0.0966</v>
      </c>
      <c r="L86" s="9" t="n">
        <v>0.5372</v>
      </c>
      <c r="M86" s="10" t="n">
        <f aca="false">J86*(1-K86)</f>
        <v>80899.235116</v>
      </c>
      <c r="N86" s="10" t="n">
        <f aca="false">M86*L86</f>
        <v>43459.0691043152</v>
      </c>
      <c r="O86" s="10" t="n">
        <f aca="false">M86-N86</f>
        <v>37440.1660116848</v>
      </c>
      <c r="P86" s="10" t="n">
        <f aca="false">O86-I86</f>
        <v>-3456.7651083152</v>
      </c>
      <c r="Q86" s="10" t="n">
        <f aca="false">(J86-D86)*(1-E86)*(1-F86)</f>
        <v>-4235.267564</v>
      </c>
      <c r="R86" s="10" t="n">
        <f aca="false">J86*(E86-K86)*(1-F86)</f>
        <v>551.98459736</v>
      </c>
      <c r="S86" s="10" t="n">
        <f aca="false">M86*(F86-L86)</f>
        <v>226.517858324802</v>
      </c>
      <c r="T86" s="10" t="n">
        <f aca="false">ROUND(P86-(Q86+R86+S86),2)</f>
        <v>0</v>
      </c>
    </row>
    <row r="87" customFormat="false" ht="15" hidden="false" customHeight="true" outlineLevel="0" collapsed="false">
      <c r="A87" s="7" t="s">
        <v>56</v>
      </c>
      <c r="B87" s="7" t="s">
        <v>42</v>
      </c>
      <c r="C87" s="7" t="s">
        <v>69</v>
      </c>
      <c r="D87" s="8" t="n">
        <v>98387.87</v>
      </c>
      <c r="E87" s="9" t="n">
        <v>0.11</v>
      </c>
      <c r="F87" s="9" t="n">
        <v>0.54</v>
      </c>
      <c r="G87" s="10" t="n">
        <f aca="false">D87*(1-E87)</f>
        <v>87565.2043</v>
      </c>
      <c r="H87" s="10" t="n">
        <f aca="false">G87*F87</f>
        <v>47285.210322</v>
      </c>
      <c r="I87" s="10" t="n">
        <f aca="false">G87-H87</f>
        <v>40279.993978</v>
      </c>
      <c r="J87" s="8" t="n">
        <v>99175.39</v>
      </c>
      <c r="K87" s="9" t="n">
        <v>0.1123</v>
      </c>
      <c r="L87" s="9" t="n">
        <v>0.5501</v>
      </c>
      <c r="M87" s="10" t="n">
        <f aca="false">J87*(1-K87)</f>
        <v>88037.993703</v>
      </c>
      <c r="N87" s="10" t="n">
        <f aca="false">M87*L87</f>
        <v>48429.7003360203</v>
      </c>
      <c r="O87" s="10" t="n">
        <f aca="false">M87-N87</f>
        <v>39608.2933669797</v>
      </c>
      <c r="P87" s="10" t="n">
        <f aca="false">O87-I87</f>
        <v>-671.7006110203</v>
      </c>
      <c r="Q87" s="10" t="n">
        <f aca="false">(J87-D87)*(1-E87)*(1-F87)</f>
        <v>322.410688000002</v>
      </c>
      <c r="R87" s="10" t="n">
        <f aca="false">J87*(E87-K87)*(1-F87)</f>
        <v>-104.92756262</v>
      </c>
      <c r="S87" s="10" t="n">
        <f aca="false">M87*(F87-L87)</f>
        <v>-889.1837364003</v>
      </c>
      <c r="T87" s="10" t="n">
        <f aca="false">ROUND(P87-(Q87+R87+S87),2)</f>
        <v>0</v>
      </c>
    </row>
    <row r="88" customFormat="false" ht="15" hidden="false" customHeight="true" outlineLevel="0" collapsed="false">
      <c r="A88" s="7" t="s">
        <v>57</v>
      </c>
      <c r="B88" s="7" t="s">
        <v>42</v>
      </c>
      <c r="C88" s="7" t="s">
        <v>69</v>
      </c>
      <c r="D88" s="8" t="n">
        <v>106983.85</v>
      </c>
      <c r="E88" s="9" t="n">
        <v>0.11</v>
      </c>
      <c r="F88" s="9" t="n">
        <v>0.54</v>
      </c>
      <c r="G88" s="10" t="n">
        <f aca="false">D88*(1-E88)</f>
        <v>95215.6265</v>
      </c>
      <c r="H88" s="10" t="n">
        <f aca="false">G88*F88</f>
        <v>51416.43831</v>
      </c>
      <c r="I88" s="10" t="n">
        <f aca="false">G88-H88</f>
        <v>43799.18819</v>
      </c>
      <c r="J88" s="8" t="n">
        <v>98621.7</v>
      </c>
      <c r="K88" s="9" t="n">
        <v>0.0913</v>
      </c>
      <c r="L88" s="9" t="n">
        <v>0.544</v>
      </c>
      <c r="M88" s="10" t="n">
        <f aca="false">J88*(1-K88)</f>
        <v>89617.53879</v>
      </c>
      <c r="N88" s="10" t="n">
        <f aca="false">M88*L88</f>
        <v>48751.94110176</v>
      </c>
      <c r="O88" s="10" t="n">
        <f aca="false">M88-N88</f>
        <v>40865.59768824</v>
      </c>
      <c r="P88" s="10" t="n">
        <f aca="false">O88-I88</f>
        <v>-2933.59050176001</v>
      </c>
      <c r="Q88" s="10" t="n">
        <f aca="false">(J88-D88)*(1-E88)*(1-F88)</f>
        <v>-3423.46421</v>
      </c>
      <c r="R88" s="10" t="n">
        <f aca="false">J88*(E88-K88)*(1-F88)</f>
        <v>848.3438634</v>
      </c>
      <c r="S88" s="10" t="n">
        <f aca="false">M88*(F88-L88)</f>
        <v>-358.47015516</v>
      </c>
      <c r="T88" s="10" t="n">
        <f aca="false">ROUND(P88-(Q88+R88+S88),2)</f>
        <v>0</v>
      </c>
    </row>
    <row r="89" customFormat="false" ht="15" hidden="false" customHeight="true" outlineLevel="0" collapsed="false">
      <c r="A89" s="7" t="s">
        <v>58</v>
      </c>
      <c r="B89" s="7" t="s">
        <v>42</v>
      </c>
      <c r="C89" s="7" t="s">
        <v>69</v>
      </c>
      <c r="D89" s="8" t="n">
        <v>111156.26</v>
      </c>
      <c r="E89" s="9" t="n">
        <v>0.11</v>
      </c>
      <c r="F89" s="9" t="n">
        <v>0.54</v>
      </c>
      <c r="G89" s="10" t="n">
        <f aca="false">D89*(1-E89)</f>
        <v>98929.0714</v>
      </c>
      <c r="H89" s="10" t="n">
        <f aca="false">G89*F89</f>
        <v>53421.698556</v>
      </c>
      <c r="I89" s="10" t="n">
        <f aca="false">G89-H89</f>
        <v>45507.372844</v>
      </c>
      <c r="J89" s="8" t="n">
        <v>112987.49</v>
      </c>
      <c r="K89" s="9" t="n">
        <v>0.0965</v>
      </c>
      <c r="L89" s="9" t="n">
        <v>0.5349</v>
      </c>
      <c r="M89" s="10" t="n">
        <f aca="false">J89*(1-K89)</f>
        <v>102084.197215</v>
      </c>
      <c r="N89" s="10" t="n">
        <f aca="false">M89*L89</f>
        <v>54604.8370903035</v>
      </c>
      <c r="O89" s="10" t="n">
        <f aca="false">M89-N89</f>
        <v>47479.3601246965</v>
      </c>
      <c r="P89" s="10" t="n">
        <f aca="false">O89-I89</f>
        <v>1971.9872806965</v>
      </c>
      <c r="Q89" s="10" t="n">
        <f aca="false">(J89-D89)*(1-E89)*(1-F89)</f>
        <v>749.705562000004</v>
      </c>
      <c r="R89" s="10" t="n">
        <f aca="false">J89*(E89-K89)*(1-F89)</f>
        <v>701.6523129</v>
      </c>
      <c r="S89" s="10" t="n">
        <f aca="false">M89*(F89-L89)</f>
        <v>520.629405796499</v>
      </c>
      <c r="T89" s="10" t="n">
        <f aca="false">ROUND(P89-(Q89+R89+S89),2)</f>
        <v>0</v>
      </c>
    </row>
    <row r="90" customFormat="false" ht="15" hidden="false" customHeight="true" outlineLevel="0" collapsed="false">
      <c r="A90" s="7" t="s">
        <v>59</v>
      </c>
      <c r="B90" s="7" t="s">
        <v>42</v>
      </c>
      <c r="C90" s="7" t="s">
        <v>69</v>
      </c>
      <c r="D90" s="8" t="n">
        <v>114234.93</v>
      </c>
      <c r="E90" s="9" t="n">
        <v>0.11</v>
      </c>
      <c r="F90" s="9" t="n">
        <v>0.54</v>
      </c>
      <c r="G90" s="10" t="n">
        <f aca="false">D90*(1-E90)</f>
        <v>101669.0877</v>
      </c>
      <c r="H90" s="10" t="n">
        <f aca="false">G90*F90</f>
        <v>54901.307358</v>
      </c>
      <c r="I90" s="10" t="n">
        <f aca="false">G90-H90</f>
        <v>46767.780342</v>
      </c>
      <c r="J90" s="8" t="n">
        <v>113146.69</v>
      </c>
      <c r="K90" s="9" t="n">
        <v>0.0933</v>
      </c>
      <c r="L90" s="9" t="n">
        <v>0.5429</v>
      </c>
      <c r="M90" s="10" t="n">
        <f aca="false">J90*(1-K90)</f>
        <v>102590.103823</v>
      </c>
      <c r="N90" s="10" t="n">
        <f aca="false">M90*L90</f>
        <v>55696.1673655067</v>
      </c>
      <c r="O90" s="10" t="n">
        <f aca="false">M90-N90</f>
        <v>46893.9364574933</v>
      </c>
      <c r="P90" s="10" t="n">
        <f aca="false">O90-I90</f>
        <v>126.156115493308</v>
      </c>
      <c r="Q90" s="10" t="n">
        <f aca="false">(J90-D90)*(1-E90)*(1-F90)</f>
        <v>-445.525455999996</v>
      </c>
      <c r="R90" s="10" t="n">
        <f aca="false">J90*(E90-K90)*(1-F90)</f>
        <v>869.19287258</v>
      </c>
      <c r="S90" s="10" t="n">
        <f aca="false">M90*(F90-L90)</f>
        <v>-297.511301086701</v>
      </c>
      <c r="T90" s="10" t="n">
        <f aca="false">ROUND(P90-(Q90+R90+S90),2)</f>
        <v>0</v>
      </c>
    </row>
    <row r="91" customFormat="false" ht="15" hidden="false" customHeight="true" outlineLevel="0" collapsed="false">
      <c r="A91" s="7" t="s">
        <v>60</v>
      </c>
      <c r="B91" s="7" t="s">
        <v>42</v>
      </c>
      <c r="C91" s="7" t="s">
        <v>69</v>
      </c>
      <c r="D91" s="8" t="n">
        <v>117346.01</v>
      </c>
      <c r="E91" s="9" t="n">
        <v>0.11</v>
      </c>
      <c r="F91" s="9" t="n">
        <v>0.54</v>
      </c>
      <c r="G91" s="10" t="n">
        <f aca="false">D91*(1-E91)</f>
        <v>104437.9489</v>
      </c>
      <c r="H91" s="10" t="n">
        <f aca="false">G91*F91</f>
        <v>56396.492406</v>
      </c>
      <c r="I91" s="10" t="n">
        <f aca="false">G91-H91</f>
        <v>48041.456494</v>
      </c>
      <c r="J91" s="8" t="n">
        <v>114719.29</v>
      </c>
      <c r="K91" s="9" t="n">
        <v>0.0902</v>
      </c>
      <c r="L91" s="9" t="n">
        <v>0.5411</v>
      </c>
      <c r="M91" s="10" t="n">
        <f aca="false">J91*(1-K91)</f>
        <v>104371.610042</v>
      </c>
      <c r="N91" s="10" t="n">
        <f aca="false">M91*L91</f>
        <v>56475.4781937262</v>
      </c>
      <c r="O91" s="10" t="n">
        <f aca="false">M91-N91</f>
        <v>47896.1318482738</v>
      </c>
      <c r="P91" s="10" t="n">
        <f aca="false">O91-I91</f>
        <v>-145.324645726207</v>
      </c>
      <c r="Q91" s="10" t="n">
        <f aca="false">(J91-D91)*(1-E91)*(1-F91)</f>
        <v>-1075.379168</v>
      </c>
      <c r="R91" s="10" t="n">
        <f aca="false">J91*(E91-K91)*(1-F91)</f>
        <v>1044.86329332</v>
      </c>
      <c r="S91" s="10" t="n">
        <f aca="false">M91*(F91-L91)</f>
        <v>-114.808771046199</v>
      </c>
      <c r="T91" s="10" t="n">
        <f aca="false">ROUND(P91-(Q91+R91+S91),2)</f>
        <v>-0</v>
      </c>
    </row>
    <row r="92" customFormat="false" ht="15" hidden="false" customHeight="true" outlineLevel="0" collapsed="false">
      <c r="A92" s="7" t="s">
        <v>61</v>
      </c>
      <c r="B92" s="7" t="s">
        <v>42</v>
      </c>
      <c r="C92" s="7" t="s">
        <v>69</v>
      </c>
      <c r="D92" s="8" t="n">
        <v>115855.28</v>
      </c>
      <c r="E92" s="9" t="n">
        <v>0.11</v>
      </c>
      <c r="F92" s="9" t="n">
        <v>0.54</v>
      </c>
      <c r="G92" s="10" t="n">
        <f aca="false">D92*(1-E92)</f>
        <v>103111.1992</v>
      </c>
      <c r="H92" s="10" t="n">
        <f aca="false">G92*F92</f>
        <v>55680.047568</v>
      </c>
      <c r="I92" s="10" t="n">
        <f aca="false">G92-H92</f>
        <v>47431.151632</v>
      </c>
      <c r="J92" s="8" t="n">
        <v>119143.15</v>
      </c>
      <c r="K92" s="9" t="n">
        <v>0.1157</v>
      </c>
      <c r="L92" s="9" t="n">
        <v>0.5384</v>
      </c>
      <c r="M92" s="10" t="n">
        <f aca="false">J92*(1-K92)</f>
        <v>105358.287545</v>
      </c>
      <c r="N92" s="10" t="n">
        <f aca="false">M92*L92</f>
        <v>56724.902014228</v>
      </c>
      <c r="O92" s="10" t="n">
        <f aca="false">M92-N92</f>
        <v>48633.385530772</v>
      </c>
      <c r="P92" s="10" t="n">
        <f aca="false">O92-I92</f>
        <v>1202.23389877199</v>
      </c>
      <c r="Q92" s="10" t="n">
        <f aca="false">(J92-D92)*(1-E92)*(1-F92)</f>
        <v>1346.053978</v>
      </c>
      <c r="R92" s="10" t="n">
        <f aca="false">J92*(E92-K92)*(1-F92)</f>
        <v>-312.3933393</v>
      </c>
      <c r="S92" s="10" t="n">
        <f aca="false">M92*(F92-L92)</f>
        <v>168.573260072005</v>
      </c>
      <c r="T92" s="10" t="n">
        <f aca="false">ROUND(P92-(Q92+R92+S92),2)</f>
        <v>-0</v>
      </c>
    </row>
    <row r="93" customFormat="false" ht="15" hidden="false" customHeight="true" outlineLevel="0" collapsed="false">
      <c r="A93" s="7" t="s">
        <v>62</v>
      </c>
      <c r="B93" s="7" t="s">
        <v>42</v>
      </c>
      <c r="C93" s="7" t="s">
        <v>69</v>
      </c>
      <c r="D93" s="8" t="n">
        <v>120165.42</v>
      </c>
      <c r="E93" s="9" t="n">
        <v>0.11</v>
      </c>
      <c r="F93" s="9" t="n">
        <v>0.54</v>
      </c>
      <c r="G93" s="10" t="n">
        <f aca="false">D93*(1-E93)</f>
        <v>106947.2238</v>
      </c>
      <c r="H93" s="10" t="n">
        <f aca="false">G93*F93</f>
        <v>57751.500852</v>
      </c>
      <c r="I93" s="10" t="n">
        <f aca="false">G93-H93</f>
        <v>49195.722948</v>
      </c>
      <c r="J93" s="8" t="n">
        <v>109417.2</v>
      </c>
      <c r="K93" s="9" t="n">
        <v>0.1105</v>
      </c>
      <c r="L93" s="9" t="n">
        <v>0.5384</v>
      </c>
      <c r="M93" s="10" t="n">
        <f aca="false">J93*(1-K93)</f>
        <v>97326.5994</v>
      </c>
      <c r="N93" s="10" t="n">
        <f aca="false">M93*L93</f>
        <v>52400.64111696</v>
      </c>
      <c r="O93" s="10" t="n">
        <f aca="false">M93-N93</f>
        <v>44925.95828304</v>
      </c>
      <c r="P93" s="10" t="n">
        <f aca="false">O93-I93</f>
        <v>-4269.76466496001</v>
      </c>
      <c r="Q93" s="10" t="n">
        <f aca="false">(J93-D93)*(1-E93)*(1-F93)</f>
        <v>-4400.321268</v>
      </c>
      <c r="R93" s="10" t="n">
        <f aca="false">J93*(E93-K93)*(1-F93)</f>
        <v>-25.165956</v>
      </c>
      <c r="S93" s="10" t="n">
        <f aca="false">M93*(F93-L93)</f>
        <v>155.722559040004</v>
      </c>
      <c r="T93" s="10" t="n">
        <f aca="false">ROUND(P93-(Q93+R93+S93),2)</f>
        <v>0</v>
      </c>
    </row>
    <row r="94" customFormat="false" ht="15" hidden="false" customHeight="true" outlineLevel="0" collapsed="false">
      <c r="A94" s="7" t="s">
        <v>63</v>
      </c>
      <c r="B94" s="7" t="s">
        <v>42</v>
      </c>
      <c r="C94" s="7" t="s">
        <v>69</v>
      </c>
      <c r="D94" s="8" t="n">
        <v>123349.42</v>
      </c>
      <c r="E94" s="9" t="n">
        <v>0.11</v>
      </c>
      <c r="F94" s="9" t="n">
        <v>0.54</v>
      </c>
      <c r="G94" s="10" t="n">
        <f aca="false">D94*(1-E94)</f>
        <v>109780.9838</v>
      </c>
      <c r="H94" s="10" t="n">
        <f aca="false">G94*F94</f>
        <v>59281.731252</v>
      </c>
      <c r="I94" s="10" t="n">
        <f aca="false">G94-H94</f>
        <v>50499.252548</v>
      </c>
      <c r="J94" s="8" t="n">
        <v>123760.6</v>
      </c>
      <c r="K94" s="9" t="n">
        <v>0.1188</v>
      </c>
      <c r="L94" s="9" t="n">
        <v>0.534</v>
      </c>
      <c r="M94" s="10" t="n">
        <f aca="false">J94*(1-K94)</f>
        <v>109057.84072</v>
      </c>
      <c r="N94" s="10" t="n">
        <f aca="false">M94*L94</f>
        <v>58236.88694448</v>
      </c>
      <c r="O94" s="10" t="n">
        <f aca="false">M94-N94</f>
        <v>50820.95377552</v>
      </c>
      <c r="P94" s="10" t="n">
        <f aca="false">O94-I94</f>
        <v>321.701227520003</v>
      </c>
      <c r="Q94" s="10" t="n">
        <f aca="false">(J94-D94)*(1-E94)*(1-F94)</f>
        <v>168.337092000003</v>
      </c>
      <c r="R94" s="10" t="n">
        <f aca="false">J94*(E94-K94)*(1-F94)</f>
        <v>-500.9829088</v>
      </c>
      <c r="S94" s="10" t="n">
        <f aca="false">M94*(F94-L94)</f>
        <v>654.347044320001</v>
      </c>
      <c r="T94" s="10" t="n">
        <f aca="false">ROUND(P94-(Q94+R94+S94),2)</f>
        <v>0</v>
      </c>
    </row>
    <row r="95" customFormat="false" ht="15" hidden="false" customHeight="true" outlineLevel="0" collapsed="false">
      <c r="A95" s="7" t="s">
        <v>64</v>
      </c>
      <c r="B95" s="7" t="s">
        <v>42</v>
      </c>
      <c r="C95" s="7" t="s">
        <v>69</v>
      </c>
      <c r="D95" s="8" t="n">
        <v>130114.39</v>
      </c>
      <c r="E95" s="9" t="n">
        <v>0.11</v>
      </c>
      <c r="F95" s="9" t="n">
        <v>0.54</v>
      </c>
      <c r="G95" s="10" t="n">
        <f aca="false">D95*(1-E95)</f>
        <v>115801.8071</v>
      </c>
      <c r="H95" s="10" t="n">
        <f aca="false">G95*F95</f>
        <v>62532.975834</v>
      </c>
      <c r="I95" s="10" t="n">
        <f aca="false">G95-H95</f>
        <v>53268.831266</v>
      </c>
      <c r="J95" s="8" t="n">
        <v>144253.58</v>
      </c>
      <c r="K95" s="9" t="n">
        <v>0.1077</v>
      </c>
      <c r="L95" s="9" t="n">
        <v>0.5253</v>
      </c>
      <c r="M95" s="10" t="n">
        <f aca="false">J95*(1-K95)</f>
        <v>128717.469434</v>
      </c>
      <c r="N95" s="10" t="n">
        <f aca="false">M95*L95</f>
        <v>67615.2866936802</v>
      </c>
      <c r="O95" s="10" t="n">
        <f aca="false">M95-N95</f>
        <v>61102.1827403198</v>
      </c>
      <c r="P95" s="10" t="n">
        <f aca="false">O95-I95</f>
        <v>7833.3514743198</v>
      </c>
      <c r="Q95" s="10" t="n">
        <f aca="false">(J95-D95)*(1-E95)*(1-F95)</f>
        <v>5788.584386</v>
      </c>
      <c r="R95" s="10" t="n">
        <f aca="false">J95*(E95-K95)*(1-F95)</f>
        <v>152.62028764</v>
      </c>
      <c r="S95" s="10" t="n">
        <f aca="false">M95*(F95-L95)</f>
        <v>1892.14680067981</v>
      </c>
      <c r="T95" s="10" t="n">
        <f aca="false">ROUND(P95-(Q95+R95+S95),2)</f>
        <v>0</v>
      </c>
    </row>
    <row r="96" customFormat="false" ht="15" hidden="false" customHeight="true" outlineLevel="0" collapsed="false">
      <c r="A96" s="7" t="s">
        <v>65</v>
      </c>
      <c r="B96" s="7" t="s">
        <v>42</v>
      </c>
      <c r="C96" s="7" t="s">
        <v>69</v>
      </c>
      <c r="D96" s="8" t="n">
        <v>154824.79</v>
      </c>
      <c r="E96" s="9" t="n">
        <v>0.11</v>
      </c>
      <c r="F96" s="9" t="n">
        <v>0.54</v>
      </c>
      <c r="G96" s="10" t="n">
        <f aca="false">D96*(1-E96)</f>
        <v>137794.0631</v>
      </c>
      <c r="H96" s="10" t="n">
        <f aca="false">G96*F96</f>
        <v>74408.794074</v>
      </c>
      <c r="I96" s="10" t="n">
        <f aca="false">G96-H96</f>
        <v>63385.269026</v>
      </c>
      <c r="J96" s="8" t="n">
        <v>162780.66</v>
      </c>
      <c r="K96" s="9" t="n">
        <v>0.1275</v>
      </c>
      <c r="L96" s="9" t="n">
        <v>0.5479</v>
      </c>
      <c r="M96" s="10" t="n">
        <f aca="false">J96*(1-K96)</f>
        <v>142026.12585</v>
      </c>
      <c r="N96" s="10" t="n">
        <f aca="false">M96*L96</f>
        <v>77816.114353215</v>
      </c>
      <c r="O96" s="10" t="n">
        <f aca="false">M96-N96</f>
        <v>64210.011496785</v>
      </c>
      <c r="P96" s="10" t="n">
        <f aca="false">O96-I96</f>
        <v>824.742470785001</v>
      </c>
      <c r="Q96" s="10" t="n">
        <f aca="false">(J96-D96)*(1-E96)*(1-F96)</f>
        <v>3257.133178</v>
      </c>
      <c r="R96" s="10" t="n">
        <f aca="false">J96*(E96-K96)*(1-F96)</f>
        <v>-1310.384313</v>
      </c>
      <c r="S96" s="10" t="n">
        <f aca="false">M96*(F96-L96)</f>
        <v>-1122.006394215</v>
      </c>
      <c r="T96" s="10" t="n">
        <f aca="false">ROUND(P96-(Q96+R96+S96),2)</f>
        <v>0</v>
      </c>
    </row>
    <row r="97" customFormat="false" ht="15" hidden="false" customHeight="true" outlineLevel="0" collapsed="false">
      <c r="A97" s="7" t="s">
        <v>66</v>
      </c>
      <c r="B97" s="7" t="s">
        <v>42</v>
      </c>
      <c r="C97" s="7" t="s">
        <v>69</v>
      </c>
      <c r="D97" s="8" t="n">
        <v>146285.52</v>
      </c>
      <c r="E97" s="9" t="n">
        <v>0.11</v>
      </c>
      <c r="F97" s="9" t="n">
        <v>0.54</v>
      </c>
      <c r="G97" s="10" t="n">
        <f aca="false">D97*(1-E97)</f>
        <v>130194.1128</v>
      </c>
      <c r="H97" s="10" t="n">
        <f aca="false">G97*F97</f>
        <v>70304.820912</v>
      </c>
      <c r="I97" s="10" t="n">
        <f aca="false">G97-H97</f>
        <v>59889.291888</v>
      </c>
      <c r="J97" s="8" t="n">
        <v>139210.14</v>
      </c>
      <c r="K97" s="9" t="n">
        <v>0.0974</v>
      </c>
      <c r="L97" s="9" t="n">
        <v>0.5268</v>
      </c>
      <c r="M97" s="10" t="n">
        <f aca="false">J97*(1-K97)</f>
        <v>125651.072364</v>
      </c>
      <c r="N97" s="10" t="n">
        <f aca="false">M97*L97</f>
        <v>66192.9849213552</v>
      </c>
      <c r="O97" s="10" t="n">
        <f aca="false">M97-N97</f>
        <v>59458.0874426448</v>
      </c>
      <c r="P97" s="10" t="n">
        <f aca="false">O97-I97</f>
        <v>-431.204445355193</v>
      </c>
      <c r="Q97" s="10" t="n">
        <f aca="false">(J97-D97)*(1-E97)*(1-F97)</f>
        <v>-2896.66057199999</v>
      </c>
      <c r="R97" s="10" t="n">
        <f aca="false">J97*(E97-K97)*(1-F97)</f>
        <v>806.86197144</v>
      </c>
      <c r="S97" s="10" t="n">
        <f aca="false">M97*(F97-L97)</f>
        <v>1658.5941552048</v>
      </c>
      <c r="T97" s="10" t="n">
        <f aca="false">ROUND(P97-(Q97+R97+S97),2)</f>
        <v>-0</v>
      </c>
    </row>
    <row r="98" customFormat="false" ht="15" hidden="false" customHeight="true" outlineLevel="0" collapsed="false">
      <c r="A98" s="7" t="s">
        <v>41</v>
      </c>
      <c r="B98" s="7" t="s">
        <v>42</v>
      </c>
      <c r="C98" s="7" t="s">
        <v>70</v>
      </c>
      <c r="D98" s="8" t="n">
        <v>83531.52</v>
      </c>
      <c r="E98" s="9" t="n">
        <v>0.13</v>
      </c>
      <c r="F98" s="9" t="n">
        <v>0.6</v>
      </c>
      <c r="G98" s="10" t="n">
        <f aca="false">D98*(1-E98)</f>
        <v>72672.4224</v>
      </c>
      <c r="H98" s="10" t="n">
        <f aca="false">G98*F98</f>
        <v>43603.45344</v>
      </c>
      <c r="I98" s="10" t="n">
        <f aca="false">G98-H98</f>
        <v>29068.96896</v>
      </c>
      <c r="J98" s="8" t="n">
        <v>85264.25</v>
      </c>
      <c r="K98" s="9" t="n">
        <v>0.1221</v>
      </c>
      <c r="L98" s="9" t="n">
        <v>0.5987</v>
      </c>
      <c r="M98" s="10" t="n">
        <f aca="false">J98*(1-K98)</f>
        <v>74853.485075</v>
      </c>
      <c r="N98" s="10" t="n">
        <f aca="false">M98*L98</f>
        <v>44814.7815144025</v>
      </c>
      <c r="O98" s="10" t="n">
        <f aca="false">M98-N98</f>
        <v>30038.7035605975</v>
      </c>
      <c r="P98" s="10" t="n">
        <f aca="false">O98-I98</f>
        <v>969.734600597498</v>
      </c>
      <c r="Q98" s="10" t="n">
        <f aca="false">(J98-D98)*(1-E98)*(1-F98)</f>
        <v>602.990039999999</v>
      </c>
      <c r="R98" s="10" t="n">
        <f aca="false">J98*(E98-K98)*(1-F98)</f>
        <v>269.43503</v>
      </c>
      <c r="S98" s="10" t="n">
        <f aca="false">M98*(F98-L98)</f>
        <v>97.3095305974976</v>
      </c>
      <c r="T98" s="10" t="n">
        <f aca="false">ROUND(P98-(Q98+R98+S98),2)</f>
        <v>0</v>
      </c>
    </row>
    <row r="99" customFormat="false" ht="15" hidden="false" customHeight="true" outlineLevel="0" collapsed="false">
      <c r="A99" s="7" t="s">
        <v>44</v>
      </c>
      <c r="B99" s="7" t="s">
        <v>42</v>
      </c>
      <c r="C99" s="7" t="s">
        <v>70</v>
      </c>
      <c r="D99" s="8" t="n">
        <v>82328.67</v>
      </c>
      <c r="E99" s="9" t="n">
        <v>0.13</v>
      </c>
      <c r="F99" s="9" t="n">
        <v>0.6</v>
      </c>
      <c r="G99" s="10" t="n">
        <f aca="false">D99*(1-E99)</f>
        <v>71625.9429</v>
      </c>
      <c r="H99" s="10" t="n">
        <f aca="false">G99*F99</f>
        <v>42975.56574</v>
      </c>
      <c r="I99" s="10" t="n">
        <f aca="false">G99-H99</f>
        <v>28650.37716</v>
      </c>
      <c r="J99" s="8" t="n">
        <v>81586.93</v>
      </c>
      <c r="K99" s="9" t="n">
        <v>0.1228</v>
      </c>
      <c r="L99" s="9" t="n">
        <v>0.6031</v>
      </c>
      <c r="M99" s="10" t="n">
        <f aca="false">J99*(1-K99)</f>
        <v>71568.054996</v>
      </c>
      <c r="N99" s="10" t="n">
        <f aca="false">M99*L99</f>
        <v>43162.6939680876</v>
      </c>
      <c r="O99" s="10" t="n">
        <f aca="false">M99-N99</f>
        <v>28405.3610279124</v>
      </c>
      <c r="P99" s="10" t="n">
        <f aca="false">O99-I99</f>
        <v>-245.0161320876</v>
      </c>
      <c r="Q99" s="10" t="n">
        <f aca="false">(J99-D99)*(1-E99)*(1-F99)</f>
        <v>-258.125520000002</v>
      </c>
      <c r="R99" s="10" t="n">
        <f aca="false">J99*(E99-K99)*(1-F99)</f>
        <v>234.9703584</v>
      </c>
      <c r="S99" s="10" t="n">
        <f aca="false">M99*(F99-L99)</f>
        <v>-221.860970487599</v>
      </c>
      <c r="T99" s="10" t="n">
        <f aca="false">ROUND(P99-(Q99+R99+S99),2)</f>
        <v>0</v>
      </c>
    </row>
    <row r="100" customFormat="false" ht="15" hidden="false" customHeight="true" outlineLevel="0" collapsed="false">
      <c r="A100" s="7" t="s">
        <v>45</v>
      </c>
      <c r="B100" s="7" t="s">
        <v>42</v>
      </c>
      <c r="C100" s="7" t="s">
        <v>70</v>
      </c>
      <c r="D100" s="8" t="n">
        <v>89582.91</v>
      </c>
      <c r="E100" s="9" t="n">
        <v>0.13</v>
      </c>
      <c r="F100" s="9" t="n">
        <v>0.6</v>
      </c>
      <c r="G100" s="10" t="n">
        <f aca="false">D100*(1-E100)</f>
        <v>77937.1317</v>
      </c>
      <c r="H100" s="10" t="n">
        <f aca="false">G100*F100</f>
        <v>46762.27902</v>
      </c>
      <c r="I100" s="10" t="n">
        <f aca="false">G100-H100</f>
        <v>31174.85268</v>
      </c>
      <c r="J100" s="8" t="n">
        <v>91793.19</v>
      </c>
      <c r="K100" s="9" t="n">
        <v>0.1324</v>
      </c>
      <c r="L100" s="9" t="n">
        <v>0.5947</v>
      </c>
      <c r="M100" s="10" t="n">
        <f aca="false">J100*(1-K100)</f>
        <v>79639.771644</v>
      </c>
      <c r="N100" s="10" t="n">
        <f aca="false">M100*L100</f>
        <v>47361.7721966868</v>
      </c>
      <c r="O100" s="10" t="n">
        <f aca="false">M100-N100</f>
        <v>32277.9994473132</v>
      </c>
      <c r="P100" s="10" t="n">
        <f aca="false">O100-I100</f>
        <v>1103.1467673132</v>
      </c>
      <c r="Q100" s="10" t="n">
        <f aca="false">(J100-D100)*(1-E100)*(1-F100)</f>
        <v>769.17744</v>
      </c>
      <c r="R100" s="10" t="n">
        <f aca="false">J100*(E100-K100)*(1-F100)</f>
        <v>-88.1214623999995</v>
      </c>
      <c r="S100" s="10" t="n">
        <f aca="false">M100*(F100-L100)</f>
        <v>422.090789713198</v>
      </c>
      <c r="T100" s="10" t="n">
        <f aca="false">ROUND(P100-(Q100+R100+S100),2)</f>
        <v>0</v>
      </c>
    </row>
    <row r="101" customFormat="false" ht="15" hidden="false" customHeight="true" outlineLevel="0" collapsed="false">
      <c r="A101" s="7" t="s">
        <v>46</v>
      </c>
      <c r="B101" s="7" t="s">
        <v>42</v>
      </c>
      <c r="C101" s="7" t="s">
        <v>70</v>
      </c>
      <c r="D101" s="8" t="n">
        <v>93139.5</v>
      </c>
      <c r="E101" s="9" t="n">
        <v>0.13</v>
      </c>
      <c r="F101" s="9" t="n">
        <v>0.6</v>
      </c>
      <c r="G101" s="10" t="n">
        <f aca="false">D101*(1-E101)</f>
        <v>81031.365</v>
      </c>
      <c r="H101" s="10" t="n">
        <f aca="false">G101*F101</f>
        <v>48618.819</v>
      </c>
      <c r="I101" s="10" t="n">
        <f aca="false">G101-H101</f>
        <v>32412.546</v>
      </c>
      <c r="J101" s="8" t="n">
        <v>87589.6</v>
      </c>
      <c r="K101" s="9" t="n">
        <v>0.1304</v>
      </c>
      <c r="L101" s="9" t="n">
        <v>0.6122</v>
      </c>
      <c r="M101" s="10" t="n">
        <f aca="false">J101*(1-K101)</f>
        <v>76167.91616</v>
      </c>
      <c r="N101" s="10" t="n">
        <f aca="false">M101*L101</f>
        <v>46629.998273152</v>
      </c>
      <c r="O101" s="10" t="n">
        <f aca="false">M101-N101</f>
        <v>29537.917886848</v>
      </c>
      <c r="P101" s="10" t="n">
        <f aca="false">O101-I101</f>
        <v>-2874.62811315199</v>
      </c>
      <c r="Q101" s="10" t="n">
        <f aca="false">(J101-D101)*(1-E101)*(1-F101)</f>
        <v>-1931.3652</v>
      </c>
      <c r="R101" s="10" t="n">
        <f aca="false">J101*(E101-K101)*(1-F101)</f>
        <v>-14.0143359999994</v>
      </c>
      <c r="S101" s="10" t="n">
        <f aca="false">M101*(F101-L101)</f>
        <v>-929.248577151999</v>
      </c>
      <c r="T101" s="10" t="n">
        <f aca="false">ROUND(P101-(Q101+R101+S101),2)</f>
        <v>0</v>
      </c>
    </row>
    <row r="102" customFormat="false" ht="15" hidden="false" customHeight="true" outlineLevel="0" collapsed="false">
      <c r="A102" s="7" t="s">
        <v>47</v>
      </c>
      <c r="B102" s="7" t="s">
        <v>42</v>
      </c>
      <c r="C102" s="7" t="s">
        <v>70</v>
      </c>
      <c r="D102" s="8" t="n">
        <v>95782.81</v>
      </c>
      <c r="E102" s="9" t="n">
        <v>0.13</v>
      </c>
      <c r="F102" s="9" t="n">
        <v>0.6</v>
      </c>
      <c r="G102" s="10" t="n">
        <f aca="false">D102*(1-E102)</f>
        <v>83331.0447</v>
      </c>
      <c r="H102" s="10" t="n">
        <f aca="false">G102*F102</f>
        <v>49998.62682</v>
      </c>
      <c r="I102" s="10" t="n">
        <f aca="false">G102-H102</f>
        <v>33332.41788</v>
      </c>
      <c r="J102" s="8" t="n">
        <v>98039.03</v>
      </c>
      <c r="K102" s="9" t="n">
        <v>0.1418</v>
      </c>
      <c r="L102" s="9" t="n">
        <v>0.5946</v>
      </c>
      <c r="M102" s="10" t="n">
        <f aca="false">J102*(1-K102)</f>
        <v>84137.095546</v>
      </c>
      <c r="N102" s="10" t="n">
        <f aca="false">M102*L102</f>
        <v>50027.9170116516</v>
      </c>
      <c r="O102" s="10" t="n">
        <f aca="false">M102-N102</f>
        <v>34109.1785343484</v>
      </c>
      <c r="P102" s="10" t="n">
        <f aca="false">O102-I102</f>
        <v>776.7606543484</v>
      </c>
      <c r="Q102" s="10" t="n">
        <f aca="false">(J102-D102)*(1-E102)*(1-F102)</f>
        <v>785.164560000001</v>
      </c>
      <c r="R102" s="10" t="n">
        <f aca="false">J102*(E102-K102)*(1-F102)</f>
        <v>-462.7442216</v>
      </c>
      <c r="S102" s="10" t="n">
        <f aca="false">M102*(F102-L102)</f>
        <v>454.340315948397</v>
      </c>
      <c r="T102" s="10" t="n">
        <f aca="false">ROUND(P102-(Q102+R102+S102),2)</f>
        <v>0</v>
      </c>
    </row>
    <row r="103" customFormat="false" ht="15" hidden="false" customHeight="true" outlineLevel="0" collapsed="false">
      <c r="A103" s="7" t="s">
        <v>48</v>
      </c>
      <c r="B103" s="7" t="s">
        <v>42</v>
      </c>
      <c r="C103" s="7" t="s">
        <v>70</v>
      </c>
      <c r="D103" s="8" t="n">
        <v>98455.82</v>
      </c>
      <c r="E103" s="9" t="n">
        <v>0.13</v>
      </c>
      <c r="F103" s="9" t="n">
        <v>0.6</v>
      </c>
      <c r="G103" s="10" t="n">
        <f aca="false">D103*(1-E103)</f>
        <v>85656.5634</v>
      </c>
      <c r="H103" s="10" t="n">
        <f aca="false">G103*F103</f>
        <v>51393.93804</v>
      </c>
      <c r="I103" s="10" t="n">
        <f aca="false">G103-H103</f>
        <v>34262.62536</v>
      </c>
      <c r="J103" s="8" t="n">
        <v>98458.99</v>
      </c>
      <c r="K103" s="9" t="n">
        <v>0.1232</v>
      </c>
      <c r="L103" s="9" t="n">
        <v>0.6048</v>
      </c>
      <c r="M103" s="10" t="n">
        <f aca="false">J103*(1-K103)</f>
        <v>86328.842432</v>
      </c>
      <c r="N103" s="10" t="n">
        <f aca="false">M103*L103</f>
        <v>52211.6839028736</v>
      </c>
      <c r="O103" s="10" t="n">
        <f aca="false">M103-N103</f>
        <v>34117.1585291264</v>
      </c>
      <c r="P103" s="10" t="n">
        <f aca="false">O103-I103</f>
        <v>-145.4668308736</v>
      </c>
      <c r="Q103" s="10" t="n">
        <f aca="false">(J103-D103)*(1-E103)*(1-F103)</f>
        <v>1.10315999999939</v>
      </c>
      <c r="R103" s="10" t="n">
        <f aca="false">J103*(E103-K103)*(1-F103)</f>
        <v>267.8084528</v>
      </c>
      <c r="S103" s="10" t="n">
        <f aca="false">M103*(F103-L103)</f>
        <v>-414.378443673602</v>
      </c>
      <c r="T103" s="10" t="n">
        <f aca="false">ROUND(P103-(Q103+R103+S103),2)</f>
        <v>0</v>
      </c>
    </row>
    <row r="104" customFormat="false" ht="15" hidden="false" customHeight="true" outlineLevel="0" collapsed="false">
      <c r="A104" s="7" t="s">
        <v>49</v>
      </c>
      <c r="B104" s="7" t="s">
        <v>42</v>
      </c>
      <c r="C104" s="7" t="s">
        <v>70</v>
      </c>
      <c r="D104" s="8" t="n">
        <v>97267.81</v>
      </c>
      <c r="E104" s="9" t="n">
        <v>0.13</v>
      </c>
      <c r="F104" s="9" t="n">
        <v>0.6</v>
      </c>
      <c r="G104" s="10" t="n">
        <f aca="false">D104*(1-E104)</f>
        <v>84622.9947</v>
      </c>
      <c r="H104" s="10" t="n">
        <f aca="false">G104*F104</f>
        <v>50773.79682</v>
      </c>
      <c r="I104" s="10" t="n">
        <f aca="false">G104-H104</f>
        <v>33849.19788</v>
      </c>
      <c r="J104" s="8" t="n">
        <v>91575.4</v>
      </c>
      <c r="K104" s="9" t="n">
        <v>0.1311</v>
      </c>
      <c r="L104" s="9" t="n">
        <v>0.6017</v>
      </c>
      <c r="M104" s="10" t="n">
        <f aca="false">J104*(1-K104)</f>
        <v>79569.86506</v>
      </c>
      <c r="N104" s="10" t="n">
        <f aca="false">M104*L104</f>
        <v>47877.187806602</v>
      </c>
      <c r="O104" s="10" t="n">
        <f aca="false">M104-N104</f>
        <v>31692.677253398</v>
      </c>
      <c r="P104" s="10" t="n">
        <f aca="false">O104-I104</f>
        <v>-2156.520626602</v>
      </c>
      <c r="Q104" s="10" t="n">
        <f aca="false">(J104-D104)*(1-E104)*(1-F104)</f>
        <v>-1980.95868</v>
      </c>
      <c r="R104" s="10" t="n">
        <f aca="false">J104*(E104-K104)*(1-F104)</f>
        <v>-40.2931759999996</v>
      </c>
      <c r="S104" s="10" t="n">
        <f aca="false">M104*(F104-L104)</f>
        <v>-135.268770602003</v>
      </c>
      <c r="T104" s="10" t="n">
        <f aca="false">ROUND(P104-(Q104+R104+S104),2)</f>
        <v>0</v>
      </c>
    </row>
    <row r="105" customFormat="false" ht="15" hidden="false" customHeight="true" outlineLevel="0" collapsed="false">
      <c r="A105" s="7" t="s">
        <v>50</v>
      </c>
      <c r="B105" s="7" t="s">
        <v>42</v>
      </c>
      <c r="C105" s="7" t="s">
        <v>70</v>
      </c>
      <c r="D105" s="8" t="n">
        <v>100950.63</v>
      </c>
      <c r="E105" s="9" t="n">
        <v>0.13</v>
      </c>
      <c r="F105" s="9" t="n">
        <v>0.6</v>
      </c>
      <c r="G105" s="10" t="n">
        <f aca="false">D105*(1-E105)</f>
        <v>87827.0481</v>
      </c>
      <c r="H105" s="10" t="n">
        <f aca="false">G105*F105</f>
        <v>52696.22886</v>
      </c>
      <c r="I105" s="10" t="n">
        <f aca="false">G105-H105</f>
        <v>35130.81924</v>
      </c>
      <c r="J105" s="8" t="n">
        <v>104476.9</v>
      </c>
      <c r="K105" s="9" t="n">
        <v>0.1231</v>
      </c>
      <c r="L105" s="9" t="n">
        <v>0.5983</v>
      </c>
      <c r="M105" s="10" t="n">
        <f aca="false">J105*(1-K105)</f>
        <v>91615.79361</v>
      </c>
      <c r="N105" s="10" t="n">
        <f aca="false">M105*L105</f>
        <v>54813.729316863</v>
      </c>
      <c r="O105" s="10" t="n">
        <f aca="false">M105-N105</f>
        <v>36802.064293137</v>
      </c>
      <c r="P105" s="10" t="n">
        <f aca="false">O105-I105</f>
        <v>1671.24505313699</v>
      </c>
      <c r="Q105" s="10" t="n">
        <f aca="false">(J105-D105)*(1-E105)*(1-F105)</f>
        <v>1227.14196</v>
      </c>
      <c r="R105" s="10" t="n">
        <f aca="false">J105*(E105-K105)*(1-F105)</f>
        <v>288.356244</v>
      </c>
      <c r="S105" s="10" t="n">
        <f aca="false">M105*(F105-L105)</f>
        <v>155.746849136993</v>
      </c>
      <c r="T105" s="10" t="n">
        <f aca="false">ROUND(P105-(Q105+R105+S105),2)</f>
        <v>0</v>
      </c>
    </row>
    <row r="106" customFormat="false" ht="15" hidden="false" customHeight="true" outlineLevel="0" collapsed="false">
      <c r="A106" s="7" t="s">
        <v>51</v>
      </c>
      <c r="B106" s="7" t="s">
        <v>42</v>
      </c>
      <c r="C106" s="7" t="s">
        <v>70</v>
      </c>
      <c r="D106" s="8" t="n">
        <v>103690.46</v>
      </c>
      <c r="E106" s="9" t="n">
        <v>0.13</v>
      </c>
      <c r="F106" s="9" t="n">
        <v>0.6</v>
      </c>
      <c r="G106" s="10" t="n">
        <f aca="false">D106*(1-E106)</f>
        <v>90210.7002</v>
      </c>
      <c r="H106" s="10" t="n">
        <f aca="false">G106*F106</f>
        <v>54126.42012</v>
      </c>
      <c r="I106" s="10" t="n">
        <f aca="false">G106-H106</f>
        <v>36084.28008</v>
      </c>
      <c r="J106" s="8" t="n">
        <v>110799</v>
      </c>
      <c r="K106" s="9" t="n">
        <v>0.1258</v>
      </c>
      <c r="L106" s="9" t="n">
        <v>0.5965</v>
      </c>
      <c r="M106" s="10" t="n">
        <f aca="false">J106*(1-K106)</f>
        <v>96860.4858</v>
      </c>
      <c r="N106" s="10" t="n">
        <f aca="false">M106*L106</f>
        <v>57777.2797797</v>
      </c>
      <c r="O106" s="10" t="n">
        <f aca="false">M106-N106</f>
        <v>39083.2060203</v>
      </c>
      <c r="P106" s="10" t="n">
        <f aca="false">O106-I106</f>
        <v>2998.92594029999</v>
      </c>
      <c r="Q106" s="10" t="n">
        <f aca="false">(J106-D106)*(1-E106)*(1-F106)</f>
        <v>2473.77192</v>
      </c>
      <c r="R106" s="10" t="n">
        <f aca="false">J106*(E106-K106)*(1-F106)</f>
        <v>186.14232</v>
      </c>
      <c r="S106" s="10" t="n">
        <f aca="false">M106*(F106-L106)</f>
        <v>339.011700299995</v>
      </c>
      <c r="T106" s="10" t="n">
        <f aca="false">ROUND(P106-(Q106+R106+S106),2)</f>
        <v>0</v>
      </c>
    </row>
    <row r="107" customFormat="false" ht="15" hidden="false" customHeight="true" outlineLevel="0" collapsed="false">
      <c r="A107" s="7" t="s">
        <v>52</v>
      </c>
      <c r="B107" s="7" t="s">
        <v>42</v>
      </c>
      <c r="C107" s="7" t="s">
        <v>70</v>
      </c>
      <c r="D107" s="8" t="n">
        <v>109444.85</v>
      </c>
      <c r="E107" s="9" t="n">
        <v>0.13</v>
      </c>
      <c r="F107" s="9" t="n">
        <v>0.6</v>
      </c>
      <c r="G107" s="10" t="n">
        <f aca="false">D107*(1-E107)</f>
        <v>95217.0195</v>
      </c>
      <c r="H107" s="10" t="n">
        <f aca="false">G107*F107</f>
        <v>57130.2117</v>
      </c>
      <c r="I107" s="10" t="n">
        <f aca="false">G107-H107</f>
        <v>38086.8078</v>
      </c>
      <c r="J107" s="8" t="n">
        <v>115758.19</v>
      </c>
      <c r="K107" s="9" t="n">
        <v>0.1375</v>
      </c>
      <c r="L107" s="9" t="n">
        <v>0.6046</v>
      </c>
      <c r="M107" s="10" t="n">
        <f aca="false">J107*(1-K107)</f>
        <v>99841.438875</v>
      </c>
      <c r="N107" s="10" t="n">
        <f aca="false">M107*L107</f>
        <v>60364.133943825</v>
      </c>
      <c r="O107" s="10" t="n">
        <f aca="false">M107-N107</f>
        <v>39477.304931175</v>
      </c>
      <c r="P107" s="10" t="n">
        <f aca="false">O107-I107</f>
        <v>1390.497131175</v>
      </c>
      <c r="Q107" s="10" t="n">
        <f aca="false">(J107-D107)*(1-E107)*(1-F107)</f>
        <v>2197.04232</v>
      </c>
      <c r="R107" s="10" t="n">
        <f aca="false">J107*(E107-K107)*(1-F107)</f>
        <v>-347.27457</v>
      </c>
      <c r="S107" s="10" t="n">
        <f aca="false">M107*(F107-L107)</f>
        <v>-459.270618825005</v>
      </c>
      <c r="T107" s="10" t="n">
        <f aca="false">ROUND(P107-(Q107+R107+S107),2)</f>
        <v>0</v>
      </c>
    </row>
    <row r="108" customFormat="false" ht="15" hidden="false" customHeight="true" outlineLevel="0" collapsed="false">
      <c r="A108" s="7" t="s">
        <v>53</v>
      </c>
      <c r="B108" s="7" t="s">
        <v>42</v>
      </c>
      <c r="C108" s="7" t="s">
        <v>70</v>
      </c>
      <c r="D108" s="8" t="n">
        <v>130309.17</v>
      </c>
      <c r="E108" s="9" t="n">
        <v>0.13</v>
      </c>
      <c r="F108" s="9" t="n">
        <v>0.6</v>
      </c>
      <c r="G108" s="10" t="n">
        <f aca="false">D108*(1-E108)</f>
        <v>113368.9779</v>
      </c>
      <c r="H108" s="10" t="n">
        <f aca="false">G108*F108</f>
        <v>68021.38674</v>
      </c>
      <c r="I108" s="10" t="n">
        <f aca="false">G108-H108</f>
        <v>45347.59116</v>
      </c>
      <c r="J108" s="8" t="n">
        <v>113104.47</v>
      </c>
      <c r="K108" s="9" t="n">
        <v>0.139</v>
      </c>
      <c r="L108" s="9" t="n">
        <v>0.609</v>
      </c>
      <c r="M108" s="10" t="n">
        <f aca="false">J108*(1-K108)</f>
        <v>97382.94867</v>
      </c>
      <c r="N108" s="10" t="n">
        <f aca="false">M108*L108</f>
        <v>59306.21574003</v>
      </c>
      <c r="O108" s="10" t="n">
        <f aca="false">M108-N108</f>
        <v>38076.73292997</v>
      </c>
      <c r="P108" s="10" t="n">
        <f aca="false">O108-I108</f>
        <v>-7270.85823003</v>
      </c>
      <c r="Q108" s="10" t="n">
        <f aca="false">(J108-D108)*(1-E108)*(1-F108)</f>
        <v>-5987.2356</v>
      </c>
      <c r="R108" s="10" t="n">
        <f aca="false">J108*(E108-K108)*(1-F108)</f>
        <v>-407.176092</v>
      </c>
      <c r="S108" s="10" t="n">
        <f aca="false">M108*(F108-L108)</f>
        <v>-876.446538030001</v>
      </c>
      <c r="T108" s="10" t="n">
        <f aca="false">ROUND(P108-(Q108+R108+S108),2)</f>
        <v>0</v>
      </c>
    </row>
    <row r="109" customFormat="false" ht="15" hidden="false" customHeight="true" outlineLevel="0" collapsed="false">
      <c r="A109" s="7" t="s">
        <v>54</v>
      </c>
      <c r="B109" s="7" t="s">
        <v>42</v>
      </c>
      <c r="C109" s="7" t="s">
        <v>70</v>
      </c>
      <c r="D109" s="8" t="n">
        <v>123196</v>
      </c>
      <c r="E109" s="9" t="n">
        <v>0.13</v>
      </c>
      <c r="F109" s="9" t="n">
        <v>0.6</v>
      </c>
      <c r="G109" s="10" t="n">
        <f aca="false">D109*(1-E109)</f>
        <v>107180.52</v>
      </c>
      <c r="H109" s="10" t="n">
        <f aca="false">G109*F109</f>
        <v>64308.312</v>
      </c>
      <c r="I109" s="10" t="n">
        <f aca="false">G109-H109</f>
        <v>42872.208</v>
      </c>
      <c r="J109" s="8" t="n">
        <v>125340.44</v>
      </c>
      <c r="K109" s="9" t="n">
        <v>0.1225</v>
      </c>
      <c r="L109" s="9" t="n">
        <v>0.6084</v>
      </c>
      <c r="M109" s="10" t="n">
        <f aca="false">J109*(1-K109)</f>
        <v>109986.2361</v>
      </c>
      <c r="N109" s="10" t="n">
        <f aca="false">M109*L109</f>
        <v>66915.62604324</v>
      </c>
      <c r="O109" s="10" t="n">
        <f aca="false">M109-N109</f>
        <v>43070.61005676</v>
      </c>
      <c r="P109" s="10" t="n">
        <f aca="false">O109-I109</f>
        <v>198.402056759987</v>
      </c>
      <c r="Q109" s="10" t="n">
        <f aca="false">(J109-D109)*(1-E109)*(1-F109)</f>
        <v>746.265120000001</v>
      </c>
      <c r="R109" s="10" t="n">
        <f aca="false">J109*(E109-K109)*(1-F109)</f>
        <v>376.02132</v>
      </c>
      <c r="S109" s="10" t="n">
        <f aca="false">M109*(F109-L109)</f>
        <v>-923.884383240008</v>
      </c>
      <c r="T109" s="10" t="n">
        <f aca="false">ROUND(P109-(Q109+R109+S109),2)</f>
        <v>-0</v>
      </c>
    </row>
    <row r="110" customFormat="false" ht="15" hidden="false" customHeight="true" outlineLevel="0" collapsed="false">
      <c r="A110" s="7" t="s">
        <v>55</v>
      </c>
      <c r="B110" s="7" t="s">
        <v>42</v>
      </c>
      <c r="C110" s="7" t="s">
        <v>70</v>
      </c>
      <c r="D110" s="8" t="n">
        <v>91550.55</v>
      </c>
      <c r="E110" s="9" t="n">
        <v>0.13</v>
      </c>
      <c r="F110" s="9" t="n">
        <v>0.6</v>
      </c>
      <c r="G110" s="10" t="n">
        <f aca="false">D110*(1-E110)</f>
        <v>79648.9785</v>
      </c>
      <c r="H110" s="10" t="n">
        <f aca="false">G110*F110</f>
        <v>47789.3871</v>
      </c>
      <c r="I110" s="10" t="n">
        <f aca="false">G110-H110</f>
        <v>31859.5914</v>
      </c>
      <c r="J110" s="8" t="n">
        <v>93222.61</v>
      </c>
      <c r="K110" s="9" t="n">
        <v>0.1158</v>
      </c>
      <c r="L110" s="9" t="n">
        <v>0.5944</v>
      </c>
      <c r="M110" s="10" t="n">
        <f aca="false">J110*(1-K110)</f>
        <v>82427.431762</v>
      </c>
      <c r="N110" s="10" t="n">
        <f aca="false">M110*L110</f>
        <v>48994.8654393328</v>
      </c>
      <c r="O110" s="10" t="n">
        <f aca="false">M110-N110</f>
        <v>33432.5663226672</v>
      </c>
      <c r="P110" s="10" t="n">
        <f aca="false">O110-I110</f>
        <v>1572.9749226672</v>
      </c>
      <c r="Q110" s="10" t="n">
        <f aca="false">(J110-D110)*(1-E110)*(1-F110)</f>
        <v>581.876879999999</v>
      </c>
      <c r="R110" s="10" t="n">
        <f aca="false">J110*(E110-K110)*(1-F110)</f>
        <v>529.5044248</v>
      </c>
      <c r="S110" s="10" t="n">
        <f aca="false">M110*(F110-L110)</f>
        <v>461.593617867195</v>
      </c>
      <c r="T110" s="10" t="n">
        <f aca="false">ROUND(P110-(Q110+R110+S110),2)</f>
        <v>0</v>
      </c>
    </row>
    <row r="111" customFormat="false" ht="15" hidden="false" customHeight="true" outlineLevel="0" collapsed="false">
      <c r="A111" s="7" t="s">
        <v>56</v>
      </c>
      <c r="B111" s="7" t="s">
        <v>42</v>
      </c>
      <c r="C111" s="7" t="s">
        <v>70</v>
      </c>
      <c r="D111" s="8" t="n">
        <v>90169.49</v>
      </c>
      <c r="E111" s="9" t="n">
        <v>0.13</v>
      </c>
      <c r="F111" s="9" t="n">
        <v>0.6</v>
      </c>
      <c r="G111" s="10" t="n">
        <f aca="false">D111*(1-E111)</f>
        <v>78447.4563</v>
      </c>
      <c r="H111" s="10" t="n">
        <f aca="false">G111*F111</f>
        <v>47068.47378</v>
      </c>
      <c r="I111" s="10" t="n">
        <f aca="false">G111-H111</f>
        <v>31378.98252</v>
      </c>
      <c r="J111" s="8" t="n">
        <v>89294.17</v>
      </c>
      <c r="K111" s="9" t="n">
        <v>0.1516</v>
      </c>
      <c r="L111" s="9" t="n">
        <v>0.6162</v>
      </c>
      <c r="M111" s="10" t="n">
        <f aca="false">J111*(1-K111)</f>
        <v>75757.173828</v>
      </c>
      <c r="N111" s="10" t="n">
        <f aca="false">M111*L111</f>
        <v>46681.5705128136</v>
      </c>
      <c r="O111" s="10" t="n">
        <f aca="false">M111-N111</f>
        <v>29075.6033151864</v>
      </c>
      <c r="P111" s="10" t="n">
        <f aca="false">O111-I111</f>
        <v>-2303.3792048136</v>
      </c>
      <c r="Q111" s="10" t="n">
        <f aca="false">(J111-D111)*(1-E111)*(1-F111)</f>
        <v>-304.611360000002</v>
      </c>
      <c r="R111" s="10" t="n">
        <f aca="false">J111*(E111-K111)*(1-F111)</f>
        <v>-771.5016288</v>
      </c>
      <c r="S111" s="10" t="n">
        <f aca="false">M111*(F111-L111)</f>
        <v>-1227.2662160136</v>
      </c>
      <c r="T111" s="10" t="n">
        <f aca="false">ROUND(P111-(Q111+R111+S111),2)</f>
        <v>0</v>
      </c>
    </row>
    <row r="112" customFormat="false" ht="15" hidden="false" customHeight="true" outlineLevel="0" collapsed="false">
      <c r="A112" s="7" t="s">
        <v>57</v>
      </c>
      <c r="B112" s="7" t="s">
        <v>42</v>
      </c>
      <c r="C112" s="7" t="s">
        <v>70</v>
      </c>
      <c r="D112" s="8" t="n">
        <v>98047.44</v>
      </c>
      <c r="E112" s="9" t="n">
        <v>0.13</v>
      </c>
      <c r="F112" s="9" t="n">
        <v>0.6</v>
      </c>
      <c r="G112" s="10" t="n">
        <f aca="false">D112*(1-E112)</f>
        <v>85301.2728</v>
      </c>
      <c r="H112" s="10" t="n">
        <f aca="false">G112*F112</f>
        <v>51180.76368</v>
      </c>
      <c r="I112" s="10" t="n">
        <f aca="false">G112-H112</f>
        <v>34120.50912</v>
      </c>
      <c r="J112" s="8" t="n">
        <v>97188.91</v>
      </c>
      <c r="K112" s="9" t="n">
        <v>0.1277</v>
      </c>
      <c r="L112" s="9" t="n">
        <v>0.5916</v>
      </c>
      <c r="M112" s="10" t="n">
        <f aca="false">J112*(1-K112)</f>
        <v>84777.886193</v>
      </c>
      <c r="N112" s="10" t="n">
        <f aca="false">M112*L112</f>
        <v>50154.5974717788</v>
      </c>
      <c r="O112" s="10" t="n">
        <f aca="false">M112-N112</f>
        <v>34623.2887212212</v>
      </c>
      <c r="P112" s="10" t="n">
        <f aca="false">O112-I112</f>
        <v>502.779601221198</v>
      </c>
      <c r="Q112" s="10" t="n">
        <f aca="false">(J112-D112)*(1-E112)*(1-F112)</f>
        <v>-298.76844</v>
      </c>
      <c r="R112" s="10" t="n">
        <f aca="false">J112*(E112-K112)*(1-F112)</f>
        <v>89.4137971999999</v>
      </c>
      <c r="S112" s="10" t="n">
        <f aca="false">M112*(F112-L112)</f>
        <v>712.134244021197</v>
      </c>
      <c r="T112" s="10" t="n">
        <f aca="false">ROUND(P112-(Q112+R112+S112),2)</f>
        <v>0</v>
      </c>
    </row>
    <row r="113" customFormat="false" ht="15" hidden="false" customHeight="true" outlineLevel="0" collapsed="false">
      <c r="A113" s="7" t="s">
        <v>58</v>
      </c>
      <c r="B113" s="7" t="s">
        <v>42</v>
      </c>
      <c r="C113" s="7" t="s">
        <v>70</v>
      </c>
      <c r="D113" s="8" t="n">
        <v>101871.33</v>
      </c>
      <c r="E113" s="9" t="n">
        <v>0.13</v>
      </c>
      <c r="F113" s="9" t="n">
        <v>0.6</v>
      </c>
      <c r="G113" s="10" t="n">
        <f aca="false">D113*(1-E113)</f>
        <v>88628.0571</v>
      </c>
      <c r="H113" s="10" t="n">
        <f aca="false">G113*F113</f>
        <v>53176.83426</v>
      </c>
      <c r="I113" s="10" t="n">
        <f aca="false">G113-H113</f>
        <v>35451.22284</v>
      </c>
      <c r="J113" s="8" t="n">
        <v>104046.45</v>
      </c>
      <c r="K113" s="9" t="n">
        <v>0.1239</v>
      </c>
      <c r="L113" s="9" t="n">
        <v>0.6115</v>
      </c>
      <c r="M113" s="10" t="n">
        <f aca="false">J113*(1-K113)</f>
        <v>91155.094845</v>
      </c>
      <c r="N113" s="10" t="n">
        <f aca="false">M113*L113</f>
        <v>55741.3404977175</v>
      </c>
      <c r="O113" s="10" t="n">
        <f aca="false">M113-N113</f>
        <v>35413.7543472825</v>
      </c>
      <c r="P113" s="10" t="n">
        <f aca="false">O113-I113</f>
        <v>-37.468492717504</v>
      </c>
      <c r="Q113" s="10" t="n">
        <f aca="false">(J113-D113)*(1-E113)*(1-F113)</f>
        <v>756.941759999998</v>
      </c>
      <c r="R113" s="10" t="n">
        <f aca="false">J113*(E113-K113)*(1-F113)</f>
        <v>253.873338</v>
      </c>
      <c r="S113" s="10" t="n">
        <f aca="false">M113*(F113-L113)</f>
        <v>-1048.28359071751</v>
      </c>
      <c r="T113" s="10" t="n">
        <f aca="false">ROUND(P113-(Q113+R113+S113),2)</f>
        <v>0</v>
      </c>
    </row>
    <row r="114" customFormat="false" ht="15" hidden="false" customHeight="true" outlineLevel="0" collapsed="false">
      <c r="A114" s="7" t="s">
        <v>59</v>
      </c>
      <c r="B114" s="7" t="s">
        <v>42</v>
      </c>
      <c r="C114" s="7" t="s">
        <v>70</v>
      </c>
      <c r="D114" s="8" t="n">
        <v>104692.84</v>
      </c>
      <c r="E114" s="9" t="n">
        <v>0.13</v>
      </c>
      <c r="F114" s="9" t="n">
        <v>0.6</v>
      </c>
      <c r="G114" s="10" t="n">
        <f aca="false">D114*(1-E114)</f>
        <v>91082.7708</v>
      </c>
      <c r="H114" s="10" t="n">
        <f aca="false">G114*F114</f>
        <v>54649.66248</v>
      </c>
      <c r="I114" s="10" t="n">
        <f aca="false">G114-H114</f>
        <v>36433.10832</v>
      </c>
      <c r="J114" s="8" t="n">
        <v>108221.91</v>
      </c>
      <c r="K114" s="9" t="n">
        <v>0.1422</v>
      </c>
      <c r="L114" s="9" t="n">
        <v>0.5916</v>
      </c>
      <c r="M114" s="10" t="n">
        <f aca="false">J114*(1-K114)</f>
        <v>92832.754398</v>
      </c>
      <c r="N114" s="10" t="n">
        <f aca="false">M114*L114</f>
        <v>54919.8575018568</v>
      </c>
      <c r="O114" s="10" t="n">
        <f aca="false">M114-N114</f>
        <v>37912.8968961432</v>
      </c>
      <c r="P114" s="10" t="n">
        <f aca="false">O114-I114</f>
        <v>1479.7885761432</v>
      </c>
      <c r="Q114" s="10" t="n">
        <f aca="false">(J114-D114)*(1-E114)*(1-F114)</f>
        <v>1228.11636</v>
      </c>
      <c r="R114" s="10" t="n">
        <f aca="false">J114*(E114-K114)*(1-F114)</f>
        <v>-528.1229208</v>
      </c>
      <c r="S114" s="10" t="n">
        <f aca="false">M114*(F114-L114)</f>
        <v>779.795136943197</v>
      </c>
      <c r="T114" s="10" t="n">
        <f aca="false">ROUND(P114-(Q114+R114+S114),2)</f>
        <v>0</v>
      </c>
    </row>
    <row r="115" customFormat="false" ht="15" hidden="false" customHeight="true" outlineLevel="0" collapsed="false">
      <c r="A115" s="7" t="s">
        <v>60</v>
      </c>
      <c r="B115" s="7" t="s">
        <v>42</v>
      </c>
      <c r="C115" s="7" t="s">
        <v>70</v>
      </c>
      <c r="D115" s="8" t="n">
        <v>107544.05</v>
      </c>
      <c r="E115" s="9" t="n">
        <v>0.13</v>
      </c>
      <c r="F115" s="9" t="n">
        <v>0.6</v>
      </c>
      <c r="G115" s="10" t="n">
        <f aca="false">D115*(1-E115)</f>
        <v>93563.3235</v>
      </c>
      <c r="H115" s="10" t="n">
        <f aca="false">G115*F115</f>
        <v>56137.9941</v>
      </c>
      <c r="I115" s="10" t="n">
        <f aca="false">G115-H115</f>
        <v>37425.3294</v>
      </c>
      <c r="J115" s="8" t="n">
        <v>103639.08</v>
      </c>
      <c r="K115" s="9" t="n">
        <v>0.1128</v>
      </c>
      <c r="L115" s="9" t="n">
        <v>0.597</v>
      </c>
      <c r="M115" s="10" t="n">
        <f aca="false">J115*(1-K115)</f>
        <v>91948.591776</v>
      </c>
      <c r="N115" s="10" t="n">
        <f aca="false">M115*L115</f>
        <v>54893.309290272</v>
      </c>
      <c r="O115" s="10" t="n">
        <f aca="false">M115-N115</f>
        <v>37055.282485728</v>
      </c>
      <c r="P115" s="10" t="n">
        <f aca="false">O115-I115</f>
        <v>-370.046914272003</v>
      </c>
      <c r="Q115" s="10" t="n">
        <f aca="false">(J115-D115)*(1-E115)*(1-F115)</f>
        <v>-1358.92956</v>
      </c>
      <c r="R115" s="10" t="n">
        <f aca="false">J115*(E115-K115)*(1-F115)</f>
        <v>713.0368704</v>
      </c>
      <c r="S115" s="10" t="n">
        <f aca="false">M115*(F115-L115)</f>
        <v>275.845775328</v>
      </c>
      <c r="T115" s="10" t="n">
        <f aca="false">ROUND(P115-(Q115+R115+S115),2)</f>
        <v>-0</v>
      </c>
    </row>
    <row r="116" customFormat="false" ht="15" hidden="false" customHeight="true" outlineLevel="0" collapsed="false">
      <c r="A116" s="7" t="s">
        <v>61</v>
      </c>
      <c r="B116" s="7" t="s">
        <v>42</v>
      </c>
      <c r="C116" s="7" t="s">
        <v>70</v>
      </c>
      <c r="D116" s="8" t="n">
        <v>106177.84</v>
      </c>
      <c r="E116" s="9" t="n">
        <v>0.13</v>
      </c>
      <c r="F116" s="9" t="n">
        <v>0.6</v>
      </c>
      <c r="G116" s="10" t="n">
        <f aca="false">D116*(1-E116)</f>
        <v>92374.7208</v>
      </c>
      <c r="H116" s="10" t="n">
        <f aca="false">G116*F116</f>
        <v>55424.83248</v>
      </c>
      <c r="I116" s="10" t="n">
        <f aca="false">G116-H116</f>
        <v>36949.88832</v>
      </c>
      <c r="J116" s="8" t="n">
        <v>107339.23</v>
      </c>
      <c r="K116" s="9" t="n">
        <v>0.1389</v>
      </c>
      <c r="L116" s="9" t="n">
        <v>0.6043</v>
      </c>
      <c r="M116" s="10" t="n">
        <f aca="false">J116*(1-K116)</f>
        <v>92429.810953</v>
      </c>
      <c r="N116" s="10" t="n">
        <f aca="false">M116*L116</f>
        <v>55855.3347588979</v>
      </c>
      <c r="O116" s="10" t="n">
        <f aca="false">M116-N116</f>
        <v>36574.4761941021</v>
      </c>
      <c r="P116" s="10" t="n">
        <f aca="false">O116-I116</f>
        <v>-375.412125897899</v>
      </c>
      <c r="Q116" s="10" t="n">
        <f aca="false">(J116-D116)*(1-E116)*(1-F116)</f>
        <v>404.16372</v>
      </c>
      <c r="R116" s="10" t="n">
        <f aca="false">J116*(E116-K116)*(1-F116)</f>
        <v>-382.1276588</v>
      </c>
      <c r="S116" s="10" t="n">
        <f aca="false">M116*(F116-L116)</f>
        <v>-397.448187097897</v>
      </c>
      <c r="T116" s="10" t="n">
        <f aca="false">ROUND(P116-(Q116+R116+S116),2)</f>
        <v>-0</v>
      </c>
    </row>
    <row r="117" customFormat="false" ht="15" hidden="false" customHeight="true" outlineLevel="0" collapsed="false">
      <c r="A117" s="7" t="s">
        <v>62</v>
      </c>
      <c r="B117" s="7" t="s">
        <v>42</v>
      </c>
      <c r="C117" s="7" t="s">
        <v>70</v>
      </c>
      <c r="D117" s="8" t="n">
        <v>110127.96</v>
      </c>
      <c r="E117" s="9" t="n">
        <v>0.13</v>
      </c>
      <c r="F117" s="9" t="n">
        <v>0.6</v>
      </c>
      <c r="G117" s="10" t="n">
        <f aca="false">D117*(1-E117)</f>
        <v>95811.3252</v>
      </c>
      <c r="H117" s="10" t="n">
        <f aca="false">G117*F117</f>
        <v>57486.79512</v>
      </c>
      <c r="I117" s="10" t="n">
        <f aca="false">G117-H117</f>
        <v>38324.53008</v>
      </c>
      <c r="J117" s="8" t="n">
        <v>108825.23</v>
      </c>
      <c r="K117" s="9" t="n">
        <v>0.1285</v>
      </c>
      <c r="L117" s="9" t="n">
        <v>0.5895</v>
      </c>
      <c r="M117" s="10" t="n">
        <f aca="false">J117*(1-K117)</f>
        <v>94841.187945</v>
      </c>
      <c r="N117" s="10" t="n">
        <f aca="false">M117*L117</f>
        <v>55908.8802935775</v>
      </c>
      <c r="O117" s="10" t="n">
        <f aca="false">M117-N117</f>
        <v>38932.3076514225</v>
      </c>
      <c r="P117" s="10" t="n">
        <f aca="false">O117-I117</f>
        <v>607.777571422485</v>
      </c>
      <c r="Q117" s="10" t="n">
        <f aca="false">(J117-D117)*(1-E117)*(1-F117)</f>
        <v>-453.350040000004</v>
      </c>
      <c r="R117" s="10" t="n">
        <f aca="false">J117*(E117-K117)*(1-F117)</f>
        <v>65.2951380000001</v>
      </c>
      <c r="S117" s="10" t="n">
        <f aca="false">M117*(F117-L117)</f>
        <v>995.832473422496</v>
      </c>
      <c r="T117" s="10" t="n">
        <f aca="false">ROUND(P117-(Q117+R117+S117),2)</f>
        <v>-0</v>
      </c>
    </row>
    <row r="118" customFormat="false" ht="15" hidden="false" customHeight="true" outlineLevel="0" collapsed="false">
      <c r="A118" s="7" t="s">
        <v>63</v>
      </c>
      <c r="B118" s="7" t="s">
        <v>42</v>
      </c>
      <c r="C118" s="7" t="s">
        <v>70</v>
      </c>
      <c r="D118" s="8" t="n">
        <v>113045.99</v>
      </c>
      <c r="E118" s="9" t="n">
        <v>0.13</v>
      </c>
      <c r="F118" s="9" t="n">
        <v>0.6</v>
      </c>
      <c r="G118" s="10" t="n">
        <f aca="false">D118*(1-E118)</f>
        <v>98350.0113</v>
      </c>
      <c r="H118" s="10" t="n">
        <f aca="false">G118*F118</f>
        <v>59010.00678</v>
      </c>
      <c r="I118" s="10" t="n">
        <f aca="false">G118-H118</f>
        <v>39340.00452</v>
      </c>
      <c r="J118" s="8" t="n">
        <v>108801.78</v>
      </c>
      <c r="K118" s="9" t="n">
        <v>0.1279</v>
      </c>
      <c r="L118" s="9" t="n">
        <v>0.5925</v>
      </c>
      <c r="M118" s="10" t="n">
        <f aca="false">J118*(1-K118)</f>
        <v>94886.032338</v>
      </c>
      <c r="N118" s="10" t="n">
        <f aca="false">M118*L118</f>
        <v>56219.974160265</v>
      </c>
      <c r="O118" s="10" t="n">
        <f aca="false">M118-N118</f>
        <v>38666.058177735</v>
      </c>
      <c r="P118" s="10" t="n">
        <f aca="false">O118-I118</f>
        <v>-673.946342265001</v>
      </c>
      <c r="Q118" s="10" t="n">
        <f aca="false">(J118-D118)*(1-E118)*(1-F118)</f>
        <v>-1476.98508</v>
      </c>
      <c r="R118" s="10" t="n">
        <f aca="false">J118*(E118-K118)*(1-F118)</f>
        <v>91.3934951999996</v>
      </c>
      <c r="S118" s="10" t="n">
        <f aca="false">M118*(F118-L118)</f>
        <v>711.645242534995</v>
      </c>
      <c r="T118" s="10" t="n">
        <f aca="false">ROUND(P118-(Q118+R118+S118),2)</f>
        <v>0</v>
      </c>
    </row>
    <row r="119" customFormat="false" ht="15" hidden="false" customHeight="true" outlineLevel="0" collapsed="false">
      <c r="A119" s="7" t="s">
        <v>64</v>
      </c>
      <c r="B119" s="7" t="s">
        <v>42</v>
      </c>
      <c r="C119" s="7" t="s">
        <v>70</v>
      </c>
      <c r="D119" s="8" t="n">
        <v>119245.88</v>
      </c>
      <c r="E119" s="9" t="n">
        <v>0.13</v>
      </c>
      <c r="F119" s="9" t="n">
        <v>0.6</v>
      </c>
      <c r="G119" s="10" t="n">
        <f aca="false">D119*(1-E119)</f>
        <v>103743.9156</v>
      </c>
      <c r="H119" s="10" t="n">
        <f aca="false">G119*F119</f>
        <v>62246.34936</v>
      </c>
      <c r="I119" s="10" t="n">
        <f aca="false">G119-H119</f>
        <v>41497.56624</v>
      </c>
      <c r="J119" s="8" t="n">
        <v>121467.31</v>
      </c>
      <c r="K119" s="9" t="n">
        <v>0.1256</v>
      </c>
      <c r="L119" s="9" t="n">
        <v>0.5978</v>
      </c>
      <c r="M119" s="10" t="n">
        <f aca="false">J119*(1-K119)</f>
        <v>106211.015864</v>
      </c>
      <c r="N119" s="10" t="n">
        <f aca="false">M119*L119</f>
        <v>63492.9452834992</v>
      </c>
      <c r="O119" s="10" t="n">
        <f aca="false">M119-N119</f>
        <v>42718.0705805008</v>
      </c>
      <c r="P119" s="10" t="n">
        <f aca="false">O119-I119</f>
        <v>1220.5043405008</v>
      </c>
      <c r="Q119" s="10" t="n">
        <f aca="false">(J119-D119)*(1-E119)*(1-F119)</f>
        <v>773.057639999998</v>
      </c>
      <c r="R119" s="10" t="n">
        <f aca="false">J119*(E119-K119)*(1-F119)</f>
        <v>213.782465600001</v>
      </c>
      <c r="S119" s="10" t="n">
        <f aca="false">M119*(F119-L119)</f>
        <v>233.664234900798</v>
      </c>
      <c r="T119" s="10" t="n">
        <f aca="false">ROUND(P119-(Q119+R119+S119),2)</f>
        <v>0</v>
      </c>
    </row>
    <row r="120" customFormat="false" ht="15" hidden="false" customHeight="true" outlineLevel="0" collapsed="false">
      <c r="A120" s="7" t="s">
        <v>65</v>
      </c>
      <c r="B120" s="7" t="s">
        <v>42</v>
      </c>
      <c r="C120" s="7" t="s">
        <v>70</v>
      </c>
      <c r="D120" s="8" t="n">
        <v>141892.21</v>
      </c>
      <c r="E120" s="9" t="n">
        <v>0.13</v>
      </c>
      <c r="F120" s="9" t="n">
        <v>0.6</v>
      </c>
      <c r="G120" s="10" t="n">
        <f aca="false">D120*(1-E120)</f>
        <v>123446.2227</v>
      </c>
      <c r="H120" s="10" t="n">
        <f aca="false">G120*F120</f>
        <v>74067.73362</v>
      </c>
      <c r="I120" s="10" t="n">
        <f aca="false">G120-H120</f>
        <v>49378.48908</v>
      </c>
      <c r="J120" s="8" t="n">
        <v>137809.23</v>
      </c>
      <c r="K120" s="9" t="n">
        <v>0.1417</v>
      </c>
      <c r="L120" s="9" t="n">
        <v>0.5982</v>
      </c>
      <c r="M120" s="10" t="n">
        <f aca="false">J120*(1-K120)</f>
        <v>118281.662109</v>
      </c>
      <c r="N120" s="10" t="n">
        <f aca="false">M120*L120</f>
        <v>70756.0902736038</v>
      </c>
      <c r="O120" s="10" t="n">
        <f aca="false">M120-N120</f>
        <v>47525.5718353962</v>
      </c>
      <c r="P120" s="10" t="n">
        <f aca="false">O120-I120</f>
        <v>-1852.91724460378</v>
      </c>
      <c r="Q120" s="10" t="n">
        <f aca="false">(J120-D120)*(1-E120)*(1-F120)</f>
        <v>-1420.87703999999</v>
      </c>
      <c r="R120" s="10" t="n">
        <f aca="false">J120*(E120-K120)*(1-F120)</f>
        <v>-644.9471964</v>
      </c>
      <c r="S120" s="10" t="n">
        <f aca="false">M120*(F120-L120)</f>
        <v>212.906991796203</v>
      </c>
      <c r="T120" s="10" t="n">
        <f aca="false">ROUND(P120-(Q120+R120+S120),2)</f>
        <v>0</v>
      </c>
    </row>
    <row r="121" customFormat="false" ht="15" hidden="false" customHeight="true" outlineLevel="0" collapsed="false">
      <c r="A121" s="7" t="s">
        <v>66</v>
      </c>
      <c r="B121" s="7" t="s">
        <v>42</v>
      </c>
      <c r="C121" s="7" t="s">
        <v>70</v>
      </c>
      <c r="D121" s="8" t="n">
        <v>134066.23</v>
      </c>
      <c r="E121" s="9" t="n">
        <v>0.13</v>
      </c>
      <c r="F121" s="9" t="n">
        <v>0.6</v>
      </c>
      <c r="G121" s="10" t="n">
        <f aca="false">D121*(1-E121)</f>
        <v>116637.6201</v>
      </c>
      <c r="H121" s="10" t="n">
        <f aca="false">G121*F121</f>
        <v>69982.57206</v>
      </c>
      <c r="I121" s="10" t="n">
        <f aca="false">G121-H121</f>
        <v>46655.04804</v>
      </c>
      <c r="J121" s="8" t="n">
        <v>122231.23</v>
      </c>
      <c r="K121" s="9" t="n">
        <v>0.1276</v>
      </c>
      <c r="L121" s="9" t="n">
        <v>0.6028</v>
      </c>
      <c r="M121" s="10" t="n">
        <f aca="false">J121*(1-K121)</f>
        <v>106634.525052</v>
      </c>
      <c r="N121" s="10" t="n">
        <f aca="false">M121*L121</f>
        <v>64279.2917013456</v>
      </c>
      <c r="O121" s="10" t="n">
        <f aca="false">M121-N121</f>
        <v>42355.2333506544</v>
      </c>
      <c r="P121" s="10" t="n">
        <f aca="false">O121-I121</f>
        <v>-4299.81468934561</v>
      </c>
      <c r="Q121" s="10" t="n">
        <f aca="false">(J121-D121)*(1-E121)*(1-F121)</f>
        <v>-4118.58000000001</v>
      </c>
      <c r="R121" s="10" t="n">
        <f aca="false">J121*(E121-K121)*(1-F121)</f>
        <v>117.341980800001</v>
      </c>
      <c r="S121" s="10" t="n">
        <f aca="false">M121*(F121-L121)</f>
        <v>-298.576670145603</v>
      </c>
      <c r="T121" s="10" t="n">
        <f aca="false">ROUND(P121-(Q121+R121+S121),2)</f>
        <v>0</v>
      </c>
    </row>
    <row r="122" customFormat="false" ht="15" hidden="false" customHeight="true" outlineLevel="0" collapsed="false">
      <c r="A122" s="7" t="s">
        <v>41</v>
      </c>
      <c r="B122" s="7" t="s">
        <v>42</v>
      </c>
      <c r="C122" s="7" t="s">
        <v>71</v>
      </c>
      <c r="D122" s="8" t="n">
        <v>83980.51</v>
      </c>
      <c r="E122" s="9" t="n">
        <v>0.09</v>
      </c>
      <c r="F122" s="9" t="n">
        <v>0.56</v>
      </c>
      <c r="G122" s="10" t="n">
        <f aca="false">D122*(1-E122)</f>
        <v>76422.2641</v>
      </c>
      <c r="H122" s="10" t="n">
        <f aca="false">G122*F122</f>
        <v>42796.467896</v>
      </c>
      <c r="I122" s="10" t="n">
        <f aca="false">G122-H122</f>
        <v>33625.796204</v>
      </c>
      <c r="J122" s="8" t="n">
        <v>81719.64</v>
      </c>
      <c r="K122" s="9" t="n">
        <v>0.0802</v>
      </c>
      <c r="L122" s="9" t="n">
        <v>0.5573</v>
      </c>
      <c r="M122" s="10" t="n">
        <f aca="false">J122*(1-K122)</f>
        <v>75165.724872</v>
      </c>
      <c r="N122" s="10" t="n">
        <f aca="false">M122*L122</f>
        <v>41889.8584711656</v>
      </c>
      <c r="O122" s="10" t="n">
        <f aca="false">M122-N122</f>
        <v>33275.8664008344</v>
      </c>
      <c r="P122" s="10" t="n">
        <f aca="false">O122-I122</f>
        <v>-349.9298031656</v>
      </c>
      <c r="Q122" s="10" t="n">
        <f aca="false">(J122-D122)*(1-E122)*(1-F122)</f>
        <v>-905.252347999998</v>
      </c>
      <c r="R122" s="10" t="n">
        <f aca="false">J122*(E122-K122)*(1-F122)</f>
        <v>352.37508768</v>
      </c>
      <c r="S122" s="10" t="n">
        <f aca="false">M122*(F122-L122)</f>
        <v>202.947457154403</v>
      </c>
      <c r="T122" s="10" t="n">
        <f aca="false">ROUND(P122-(Q122+R122+S122),2)</f>
        <v>-0</v>
      </c>
    </row>
    <row r="123" customFormat="false" ht="15" hidden="false" customHeight="true" outlineLevel="0" collapsed="false">
      <c r="A123" s="7" t="s">
        <v>44</v>
      </c>
      <c r="B123" s="7" t="s">
        <v>42</v>
      </c>
      <c r="C123" s="7" t="s">
        <v>71</v>
      </c>
      <c r="D123" s="8" t="n">
        <v>82771.19</v>
      </c>
      <c r="E123" s="9" t="n">
        <v>0.09</v>
      </c>
      <c r="F123" s="9" t="n">
        <v>0.56</v>
      </c>
      <c r="G123" s="10" t="n">
        <f aca="false">D123*(1-E123)</f>
        <v>75321.7829</v>
      </c>
      <c r="H123" s="10" t="n">
        <f aca="false">G123*F123</f>
        <v>42180.198424</v>
      </c>
      <c r="I123" s="10" t="n">
        <f aca="false">G123-H123</f>
        <v>33141.584476</v>
      </c>
      <c r="J123" s="8" t="n">
        <v>75415.53</v>
      </c>
      <c r="K123" s="9" t="n">
        <v>0.0947</v>
      </c>
      <c r="L123" s="9" t="n">
        <v>0.5663</v>
      </c>
      <c r="M123" s="10" t="n">
        <f aca="false">J123*(1-K123)</f>
        <v>68273.679309</v>
      </c>
      <c r="N123" s="10" t="n">
        <f aca="false">M123*L123</f>
        <v>38663.3845926867</v>
      </c>
      <c r="O123" s="10" t="n">
        <f aca="false">M123-N123</f>
        <v>29610.2947163133</v>
      </c>
      <c r="P123" s="10" t="n">
        <f aca="false">O123-I123</f>
        <v>-3531.2897596867</v>
      </c>
      <c r="Q123" s="10" t="n">
        <f aca="false">(J123-D123)*(1-E123)*(1-F123)</f>
        <v>-2945.206264</v>
      </c>
      <c r="R123" s="10" t="n">
        <f aca="false">J123*(E123-K123)*(1-F123)</f>
        <v>-155.95931604</v>
      </c>
      <c r="S123" s="10" t="n">
        <f aca="false">M123*(F123-L123)</f>
        <v>-430.124179646698</v>
      </c>
      <c r="T123" s="10" t="n">
        <f aca="false">ROUND(P123-(Q123+R123+S123),2)</f>
        <v>0</v>
      </c>
    </row>
    <row r="124" customFormat="false" ht="15" hidden="false" customHeight="true" outlineLevel="0" collapsed="false">
      <c r="A124" s="7" t="s">
        <v>45</v>
      </c>
      <c r="B124" s="7" t="s">
        <v>42</v>
      </c>
      <c r="C124" s="7" t="s">
        <v>71</v>
      </c>
      <c r="D124" s="8" t="n">
        <v>90064.43</v>
      </c>
      <c r="E124" s="9" t="n">
        <v>0.09</v>
      </c>
      <c r="F124" s="9" t="n">
        <v>0.56</v>
      </c>
      <c r="G124" s="10" t="n">
        <f aca="false">D124*(1-E124)</f>
        <v>81958.6313</v>
      </c>
      <c r="H124" s="10" t="n">
        <f aca="false">G124*F124</f>
        <v>45896.833528</v>
      </c>
      <c r="I124" s="10" t="n">
        <f aca="false">G124-H124</f>
        <v>36061.797772</v>
      </c>
      <c r="J124" s="8" t="n">
        <v>94191.5</v>
      </c>
      <c r="K124" s="9" t="n">
        <v>0.0641</v>
      </c>
      <c r="L124" s="9" t="n">
        <v>0.5528</v>
      </c>
      <c r="M124" s="10" t="n">
        <f aca="false">J124*(1-K124)</f>
        <v>88153.82485</v>
      </c>
      <c r="N124" s="10" t="n">
        <f aca="false">M124*L124</f>
        <v>48731.43437708</v>
      </c>
      <c r="O124" s="10" t="n">
        <f aca="false">M124-N124</f>
        <v>39422.39047292</v>
      </c>
      <c r="P124" s="10" t="n">
        <f aca="false">O124-I124</f>
        <v>3360.59270092001</v>
      </c>
      <c r="Q124" s="10" t="n">
        <f aca="false">(J124-D124)*(1-E124)*(1-F124)</f>
        <v>1652.478828</v>
      </c>
      <c r="R124" s="10" t="n">
        <f aca="false">J124*(E124-K124)*(1-F124)</f>
        <v>1073.406334</v>
      </c>
      <c r="S124" s="10" t="n">
        <f aca="false">M124*(F124-L124)</f>
        <v>634.707538920008</v>
      </c>
      <c r="T124" s="10" t="n">
        <f aca="false">ROUND(P124-(Q124+R124+S124),2)</f>
        <v>0</v>
      </c>
    </row>
    <row r="125" customFormat="false" ht="15" hidden="false" customHeight="true" outlineLevel="0" collapsed="false">
      <c r="A125" s="7" t="s">
        <v>46</v>
      </c>
      <c r="B125" s="7" t="s">
        <v>42</v>
      </c>
      <c r="C125" s="7" t="s">
        <v>71</v>
      </c>
      <c r="D125" s="8" t="n">
        <v>93640.13</v>
      </c>
      <c r="E125" s="9" t="n">
        <v>0.09</v>
      </c>
      <c r="F125" s="9" t="n">
        <v>0.56</v>
      </c>
      <c r="G125" s="10" t="n">
        <f aca="false">D125*(1-E125)</f>
        <v>85212.5183</v>
      </c>
      <c r="H125" s="10" t="n">
        <f aca="false">G125*F125</f>
        <v>47719.010248</v>
      </c>
      <c r="I125" s="10" t="n">
        <f aca="false">G125-H125</f>
        <v>37493.508052</v>
      </c>
      <c r="J125" s="8" t="n">
        <v>92307.32</v>
      </c>
      <c r="K125" s="9" t="n">
        <v>0.1061</v>
      </c>
      <c r="L125" s="9" t="n">
        <v>0.5526</v>
      </c>
      <c r="M125" s="10" t="n">
        <f aca="false">J125*(1-K125)</f>
        <v>82513.513348</v>
      </c>
      <c r="N125" s="10" t="n">
        <f aca="false">M125*L125</f>
        <v>45596.9674761048</v>
      </c>
      <c r="O125" s="10" t="n">
        <f aca="false">M125-N125</f>
        <v>36916.5458718952</v>
      </c>
      <c r="P125" s="10" t="n">
        <f aca="false">O125-I125</f>
        <v>-576.962180104791</v>
      </c>
      <c r="Q125" s="10" t="n">
        <f aca="false">(J125-D125)*(1-E125)*(1-F125)</f>
        <v>-533.657123999999</v>
      </c>
      <c r="R125" s="10" t="n">
        <f aca="false">J125*(E125-K125)*(1-F125)</f>
        <v>-653.90505488</v>
      </c>
      <c r="S125" s="10" t="n">
        <f aca="false">M125*(F125-L125)</f>
        <v>610.599998775206</v>
      </c>
      <c r="T125" s="10" t="n">
        <f aca="false">ROUND(P125-(Q125+R125+S125),2)</f>
        <v>0</v>
      </c>
    </row>
    <row r="126" customFormat="false" ht="15" hidden="false" customHeight="true" outlineLevel="0" collapsed="false">
      <c r="A126" s="7" t="s">
        <v>47</v>
      </c>
      <c r="B126" s="7" t="s">
        <v>42</v>
      </c>
      <c r="C126" s="7" t="s">
        <v>71</v>
      </c>
      <c r="D126" s="8" t="n">
        <v>96297.65</v>
      </c>
      <c r="E126" s="9" t="n">
        <v>0.09</v>
      </c>
      <c r="F126" s="9" t="n">
        <v>0.56</v>
      </c>
      <c r="G126" s="10" t="n">
        <f aca="false">D126*(1-E126)</f>
        <v>87630.8615</v>
      </c>
      <c r="H126" s="10" t="n">
        <f aca="false">G126*F126</f>
        <v>49073.28244</v>
      </c>
      <c r="I126" s="10" t="n">
        <f aca="false">G126-H126</f>
        <v>38557.57906</v>
      </c>
      <c r="J126" s="8" t="n">
        <v>101109.48</v>
      </c>
      <c r="K126" s="9" t="n">
        <v>0.0906</v>
      </c>
      <c r="L126" s="9" t="n">
        <v>0.5728</v>
      </c>
      <c r="M126" s="10" t="n">
        <f aca="false">J126*(1-K126)</f>
        <v>91948.961112</v>
      </c>
      <c r="N126" s="10" t="n">
        <f aca="false">M126*L126</f>
        <v>52668.3649249536</v>
      </c>
      <c r="O126" s="10" t="n">
        <f aca="false">M126-N126</f>
        <v>39280.5961870464</v>
      </c>
      <c r="P126" s="10" t="n">
        <f aca="false">O126-I126</f>
        <v>723.017127046398</v>
      </c>
      <c r="Q126" s="10" t="n">
        <f aca="false">(J126-D126)*(1-E126)*(1-F126)</f>
        <v>1926.656732</v>
      </c>
      <c r="R126" s="10" t="n">
        <f aca="false">J126*(E126-K126)*(1-F126)</f>
        <v>-26.6929027200001</v>
      </c>
      <c r="S126" s="10" t="n">
        <f aca="false">M126*(F126-L126)</f>
        <v>-1176.94670223359</v>
      </c>
      <c r="T126" s="10" t="n">
        <f aca="false">ROUND(P126-(Q126+R126+S126),2)</f>
        <v>-0</v>
      </c>
    </row>
    <row r="127" customFormat="false" ht="15" hidden="false" customHeight="true" outlineLevel="0" collapsed="false">
      <c r="A127" s="7" t="s">
        <v>48</v>
      </c>
      <c r="B127" s="7" t="s">
        <v>42</v>
      </c>
      <c r="C127" s="7" t="s">
        <v>71</v>
      </c>
      <c r="D127" s="8" t="n">
        <v>98985.03</v>
      </c>
      <c r="E127" s="9" t="n">
        <v>0.09</v>
      </c>
      <c r="F127" s="9" t="n">
        <v>0.56</v>
      </c>
      <c r="G127" s="10" t="n">
        <f aca="false">D127*(1-E127)</f>
        <v>90076.3773</v>
      </c>
      <c r="H127" s="10" t="n">
        <f aca="false">G127*F127</f>
        <v>50442.771288</v>
      </c>
      <c r="I127" s="10" t="n">
        <f aca="false">G127-H127</f>
        <v>39633.606012</v>
      </c>
      <c r="J127" s="8" t="n">
        <v>88913.36</v>
      </c>
      <c r="K127" s="9" t="n">
        <v>0.0954</v>
      </c>
      <c r="L127" s="9" t="n">
        <v>0.5491</v>
      </c>
      <c r="M127" s="10" t="n">
        <f aca="false">J127*(1-K127)</f>
        <v>80431.025456</v>
      </c>
      <c r="N127" s="10" t="n">
        <f aca="false">M127*L127</f>
        <v>44164.6760778896</v>
      </c>
      <c r="O127" s="10" t="n">
        <f aca="false">M127-N127</f>
        <v>36266.3493781104</v>
      </c>
      <c r="P127" s="10" t="n">
        <f aca="false">O127-I127</f>
        <v>-3367.2566338896</v>
      </c>
      <c r="Q127" s="10" t="n">
        <f aca="false">(J127-D127)*(1-E127)*(1-F127)</f>
        <v>-4032.696668</v>
      </c>
      <c r="R127" s="10" t="n">
        <f aca="false">J127*(E127-K127)*(1-F127)</f>
        <v>-211.25814336</v>
      </c>
      <c r="S127" s="10" t="n">
        <f aca="false">M127*(F127-L127)</f>
        <v>876.698177470402</v>
      </c>
      <c r="T127" s="10" t="n">
        <f aca="false">ROUND(P127-(Q127+R127+S127),2)</f>
        <v>0</v>
      </c>
    </row>
    <row r="128" customFormat="false" ht="15" hidden="false" customHeight="true" outlineLevel="0" collapsed="false">
      <c r="A128" s="7" t="s">
        <v>49</v>
      </c>
      <c r="B128" s="7" t="s">
        <v>42</v>
      </c>
      <c r="C128" s="7" t="s">
        <v>71</v>
      </c>
      <c r="D128" s="8" t="n">
        <v>97790.64</v>
      </c>
      <c r="E128" s="9" t="n">
        <v>0.09</v>
      </c>
      <c r="F128" s="9" t="n">
        <v>0.56</v>
      </c>
      <c r="G128" s="10" t="n">
        <f aca="false">D128*(1-E128)</f>
        <v>88989.4824</v>
      </c>
      <c r="H128" s="10" t="n">
        <f aca="false">G128*F128</f>
        <v>49834.110144</v>
      </c>
      <c r="I128" s="10" t="n">
        <f aca="false">G128-H128</f>
        <v>39155.372256</v>
      </c>
      <c r="J128" s="8" t="n">
        <v>105692.35</v>
      </c>
      <c r="K128" s="9" t="n">
        <v>0.0778</v>
      </c>
      <c r="L128" s="9" t="n">
        <v>0.5736</v>
      </c>
      <c r="M128" s="10" t="n">
        <f aca="false">J128*(1-K128)</f>
        <v>97469.48517</v>
      </c>
      <c r="N128" s="10" t="n">
        <f aca="false">M128*L128</f>
        <v>55908.496693512</v>
      </c>
      <c r="O128" s="10" t="n">
        <f aca="false">M128-N128</f>
        <v>41560.988476488</v>
      </c>
      <c r="P128" s="10" t="n">
        <f aca="false">O128-I128</f>
        <v>2405.616220488</v>
      </c>
      <c r="Q128" s="10" t="n">
        <f aca="false">(J128-D128)*(1-E128)*(1-F128)</f>
        <v>3163.844684</v>
      </c>
      <c r="R128" s="10" t="n">
        <f aca="false">J128*(E128-K128)*(1-F128)</f>
        <v>567.3565348</v>
      </c>
      <c r="S128" s="10" t="n">
        <f aca="false">M128*(F128-L128)</f>
        <v>-1325.584998312</v>
      </c>
      <c r="T128" s="10" t="n">
        <f aca="false">ROUND(P128-(Q128+R128+S128),2)</f>
        <v>0</v>
      </c>
    </row>
    <row r="129" customFormat="false" ht="15" hidden="false" customHeight="true" outlineLevel="0" collapsed="false">
      <c r="A129" s="7" t="s">
        <v>50</v>
      </c>
      <c r="B129" s="7" t="s">
        <v>42</v>
      </c>
      <c r="C129" s="7" t="s">
        <v>71</v>
      </c>
      <c r="D129" s="8" t="n">
        <v>101493.24</v>
      </c>
      <c r="E129" s="9" t="n">
        <v>0.09</v>
      </c>
      <c r="F129" s="9" t="n">
        <v>0.56</v>
      </c>
      <c r="G129" s="10" t="n">
        <f aca="false">D129*(1-E129)</f>
        <v>92358.8484</v>
      </c>
      <c r="H129" s="10" t="n">
        <f aca="false">G129*F129</f>
        <v>51720.955104</v>
      </c>
      <c r="I129" s="10" t="n">
        <f aca="false">G129-H129</f>
        <v>40637.893296</v>
      </c>
      <c r="J129" s="8" t="n">
        <v>103931.64</v>
      </c>
      <c r="K129" s="9" t="n">
        <v>0.0696</v>
      </c>
      <c r="L129" s="9" t="n">
        <v>0.5629</v>
      </c>
      <c r="M129" s="10" t="n">
        <f aca="false">J129*(1-K129)</f>
        <v>96697.997856</v>
      </c>
      <c r="N129" s="10" t="n">
        <f aca="false">M129*L129</f>
        <v>54431.3029931424</v>
      </c>
      <c r="O129" s="10" t="n">
        <f aca="false">M129-N129</f>
        <v>42266.6948628576</v>
      </c>
      <c r="P129" s="10" t="n">
        <f aca="false">O129-I129</f>
        <v>1628.80156685761</v>
      </c>
      <c r="Q129" s="10" t="n">
        <f aca="false">(J129-D129)*(1-E129)*(1-F129)</f>
        <v>976.335359999998</v>
      </c>
      <c r="R129" s="10" t="n">
        <f aca="false">J129*(E129-K129)*(1-F129)</f>
        <v>932.89040064</v>
      </c>
      <c r="S129" s="10" t="n">
        <f aca="false">M129*(F129-L129)</f>
        <v>-280.424193782391</v>
      </c>
      <c r="T129" s="10" t="n">
        <f aca="false">ROUND(P129-(Q129+R129+S129),2)</f>
        <v>0</v>
      </c>
    </row>
    <row r="130" customFormat="false" ht="15" hidden="false" customHeight="true" outlineLevel="0" collapsed="false">
      <c r="A130" s="7" t="s">
        <v>51</v>
      </c>
      <c r="B130" s="7" t="s">
        <v>42</v>
      </c>
      <c r="C130" s="7" t="s">
        <v>71</v>
      </c>
      <c r="D130" s="8" t="n">
        <v>104247.8</v>
      </c>
      <c r="E130" s="9" t="n">
        <v>0.09</v>
      </c>
      <c r="F130" s="9" t="n">
        <v>0.56</v>
      </c>
      <c r="G130" s="10" t="n">
        <f aca="false">D130*(1-E130)</f>
        <v>94865.498</v>
      </c>
      <c r="H130" s="10" t="n">
        <f aca="false">G130*F130</f>
        <v>53124.67888</v>
      </c>
      <c r="I130" s="10" t="n">
        <f aca="false">G130-H130</f>
        <v>41740.81912</v>
      </c>
      <c r="J130" s="8" t="n">
        <v>98269.55</v>
      </c>
      <c r="K130" s="9" t="n">
        <v>0.0945</v>
      </c>
      <c r="L130" s="9" t="n">
        <v>0.547</v>
      </c>
      <c r="M130" s="10" t="n">
        <f aca="false">J130*(1-K130)</f>
        <v>88983.077525</v>
      </c>
      <c r="N130" s="10" t="n">
        <f aca="false">M130*L130</f>
        <v>48673.743406175</v>
      </c>
      <c r="O130" s="10" t="n">
        <f aca="false">M130-N130</f>
        <v>40309.334118825</v>
      </c>
      <c r="P130" s="10" t="n">
        <f aca="false">O130-I130</f>
        <v>-1431.485001175</v>
      </c>
      <c r="Q130" s="10" t="n">
        <f aca="false">(J130-D130)*(1-E130)*(1-F130)</f>
        <v>-2393.6913</v>
      </c>
      <c r="R130" s="10" t="n">
        <f aca="false">J130*(E130-K130)*(1-F130)</f>
        <v>-194.573709</v>
      </c>
      <c r="S130" s="10" t="n">
        <f aca="false">M130*(F130-L130)</f>
        <v>1156.780007825</v>
      </c>
      <c r="T130" s="10" t="n">
        <f aca="false">ROUND(P130-(Q130+R130+S130),2)</f>
        <v>0</v>
      </c>
    </row>
    <row r="131" customFormat="false" ht="15" hidden="false" customHeight="true" outlineLevel="0" collapsed="false">
      <c r="A131" s="7" t="s">
        <v>52</v>
      </c>
      <c r="B131" s="7" t="s">
        <v>42</v>
      </c>
      <c r="C131" s="7" t="s">
        <v>71</v>
      </c>
      <c r="D131" s="8" t="n">
        <v>110033.13</v>
      </c>
      <c r="E131" s="9" t="n">
        <v>0.09</v>
      </c>
      <c r="F131" s="9" t="n">
        <v>0.56</v>
      </c>
      <c r="G131" s="10" t="n">
        <f aca="false">D131*(1-E131)</f>
        <v>100130.1483</v>
      </c>
      <c r="H131" s="10" t="n">
        <f aca="false">G131*F131</f>
        <v>56072.883048</v>
      </c>
      <c r="I131" s="10" t="n">
        <f aca="false">G131-H131</f>
        <v>44057.265252</v>
      </c>
      <c r="J131" s="8" t="n">
        <v>121340.42</v>
      </c>
      <c r="K131" s="9" t="n">
        <v>0.0763</v>
      </c>
      <c r="L131" s="9" t="n">
        <v>0.551</v>
      </c>
      <c r="M131" s="10" t="n">
        <f aca="false">J131*(1-K131)</f>
        <v>112082.145954</v>
      </c>
      <c r="N131" s="10" t="n">
        <f aca="false">M131*L131</f>
        <v>61757.262420654</v>
      </c>
      <c r="O131" s="10" t="n">
        <f aca="false">M131-N131</f>
        <v>50324.883533346</v>
      </c>
      <c r="P131" s="10" t="n">
        <f aca="false">O131-I131</f>
        <v>6267.618281346</v>
      </c>
      <c r="Q131" s="10" t="n">
        <f aca="false">(J131-D131)*(1-E131)*(1-F131)</f>
        <v>4527.438916</v>
      </c>
      <c r="R131" s="10" t="n">
        <f aca="false">J131*(E131-K131)*(1-F131)</f>
        <v>731.440051759999</v>
      </c>
      <c r="S131" s="10" t="n">
        <f aca="false">M131*(F131-L131)</f>
        <v>1008.739313586</v>
      </c>
      <c r="T131" s="10" t="n">
        <f aca="false">ROUND(P131-(Q131+R131+S131),2)</f>
        <v>0</v>
      </c>
    </row>
    <row r="132" customFormat="false" ht="15" hidden="false" customHeight="true" outlineLevel="0" collapsed="false">
      <c r="A132" s="7" t="s">
        <v>53</v>
      </c>
      <c r="B132" s="7" t="s">
        <v>42</v>
      </c>
      <c r="C132" s="7" t="s">
        <v>71</v>
      </c>
      <c r="D132" s="8" t="n">
        <v>131009.59</v>
      </c>
      <c r="E132" s="9" t="n">
        <v>0.09</v>
      </c>
      <c r="F132" s="9" t="n">
        <v>0.56</v>
      </c>
      <c r="G132" s="10" t="n">
        <f aca="false">D132*(1-E132)</f>
        <v>119218.7269</v>
      </c>
      <c r="H132" s="10" t="n">
        <f aca="false">G132*F132</f>
        <v>66762.487064</v>
      </c>
      <c r="I132" s="10" t="n">
        <f aca="false">G132-H132</f>
        <v>52456.239836</v>
      </c>
      <c r="J132" s="8" t="n">
        <v>126292.47</v>
      </c>
      <c r="K132" s="9" t="n">
        <v>0.0925</v>
      </c>
      <c r="L132" s="9" t="n">
        <v>0.5649</v>
      </c>
      <c r="M132" s="10" t="n">
        <f aca="false">J132*(1-K132)</f>
        <v>114610.416525</v>
      </c>
      <c r="N132" s="10" t="n">
        <f aca="false">M132*L132</f>
        <v>64743.4242949725</v>
      </c>
      <c r="O132" s="10" t="n">
        <f aca="false">M132-N132</f>
        <v>49866.9922300275</v>
      </c>
      <c r="P132" s="10" t="n">
        <f aca="false">O132-I132</f>
        <v>-2589.24760597249</v>
      </c>
      <c r="Q132" s="10" t="n">
        <f aca="false">(J132-D132)*(1-E132)*(1-F132)</f>
        <v>-1888.734848</v>
      </c>
      <c r="R132" s="10" t="n">
        <f aca="false">J132*(E132-K132)*(1-F132)</f>
        <v>-138.921717</v>
      </c>
      <c r="S132" s="10" t="n">
        <f aca="false">M132*(F132-L132)</f>
        <v>-561.591040972489</v>
      </c>
      <c r="T132" s="10" t="n">
        <f aca="false">ROUND(P132-(Q132+R132+S132),2)</f>
        <v>0</v>
      </c>
    </row>
    <row r="133" customFormat="false" ht="15" hidden="false" customHeight="true" outlineLevel="0" collapsed="false">
      <c r="A133" s="7" t="s">
        <v>54</v>
      </c>
      <c r="B133" s="7" t="s">
        <v>42</v>
      </c>
      <c r="C133" s="7" t="s">
        <v>71</v>
      </c>
      <c r="D133" s="8" t="n">
        <v>123858.19</v>
      </c>
      <c r="E133" s="9" t="n">
        <v>0.09</v>
      </c>
      <c r="F133" s="9" t="n">
        <v>0.56</v>
      </c>
      <c r="G133" s="10" t="n">
        <f aca="false">D133*(1-E133)</f>
        <v>112710.9529</v>
      </c>
      <c r="H133" s="10" t="n">
        <f aca="false">G133*F133</f>
        <v>63118.133624</v>
      </c>
      <c r="I133" s="10" t="n">
        <f aca="false">G133-H133</f>
        <v>49592.819276</v>
      </c>
      <c r="J133" s="8" t="n">
        <v>116723.47</v>
      </c>
      <c r="K133" s="9" t="n">
        <v>0.0778</v>
      </c>
      <c r="L133" s="9" t="n">
        <v>0.5665</v>
      </c>
      <c r="M133" s="10" t="n">
        <f aca="false">J133*(1-K133)</f>
        <v>107642.384034</v>
      </c>
      <c r="N133" s="10" t="n">
        <f aca="false">M133*L133</f>
        <v>60979.410555261</v>
      </c>
      <c r="O133" s="10" t="n">
        <f aca="false">M133-N133</f>
        <v>46662.973478739</v>
      </c>
      <c r="P133" s="10" t="n">
        <f aca="false">O133-I133</f>
        <v>-2929.845797261</v>
      </c>
      <c r="Q133" s="10" t="n">
        <f aca="false">(J133-D133)*(1-E133)*(1-F133)</f>
        <v>-2856.741888</v>
      </c>
      <c r="R133" s="10" t="n">
        <f aca="false">J133*(E133-K133)*(1-F133)</f>
        <v>626.57158696</v>
      </c>
      <c r="S133" s="10" t="n">
        <f aca="false">M133*(F133-L133)</f>
        <v>-699.675496220995</v>
      </c>
      <c r="T133" s="10" t="n">
        <f aca="false">ROUND(P133-(Q133+R133+S133),2)</f>
        <v>0</v>
      </c>
    </row>
    <row r="134" customFormat="false" ht="15" hidden="false" customHeight="true" outlineLevel="0" collapsed="false">
      <c r="A134" s="7" t="s">
        <v>55</v>
      </c>
      <c r="B134" s="7" t="s">
        <v>42</v>
      </c>
      <c r="C134" s="7" t="s">
        <v>71</v>
      </c>
      <c r="D134" s="8" t="n">
        <v>92042.64</v>
      </c>
      <c r="E134" s="9" t="n">
        <v>0.09</v>
      </c>
      <c r="F134" s="9" t="n">
        <v>0.56</v>
      </c>
      <c r="G134" s="10" t="n">
        <f aca="false">D134*(1-E134)</f>
        <v>83758.8024</v>
      </c>
      <c r="H134" s="10" t="n">
        <f aca="false">G134*F134</f>
        <v>46904.929344</v>
      </c>
      <c r="I134" s="10" t="n">
        <f aca="false">G134-H134</f>
        <v>36853.873056</v>
      </c>
      <c r="J134" s="8" t="n">
        <v>91292.91</v>
      </c>
      <c r="K134" s="9" t="n">
        <v>0.0982</v>
      </c>
      <c r="L134" s="9" t="n">
        <v>0.5653</v>
      </c>
      <c r="M134" s="10" t="n">
        <f aca="false">J134*(1-K134)</f>
        <v>82327.946238</v>
      </c>
      <c r="N134" s="10" t="n">
        <f aca="false">M134*L134</f>
        <v>46539.9880083414</v>
      </c>
      <c r="O134" s="10" t="n">
        <f aca="false">M134-N134</f>
        <v>35787.9582296586</v>
      </c>
      <c r="P134" s="10" t="n">
        <f aca="false">O134-I134</f>
        <v>-1065.9148263414</v>
      </c>
      <c r="Q134" s="10" t="n">
        <f aca="false">(J134-D134)*(1-E134)*(1-F134)</f>
        <v>-300.191891999998</v>
      </c>
      <c r="R134" s="10" t="n">
        <f aca="false">J134*(E134-K134)*(1-F134)</f>
        <v>-329.38481928</v>
      </c>
      <c r="S134" s="10" t="n">
        <f aca="false">M134*(F134-L134)</f>
        <v>-436.338115061398</v>
      </c>
      <c r="T134" s="10" t="n">
        <f aca="false">ROUND(P134-(Q134+R134+S134),2)</f>
        <v>0</v>
      </c>
    </row>
    <row r="135" customFormat="false" ht="15" hidden="false" customHeight="true" outlineLevel="0" collapsed="false">
      <c r="A135" s="7" t="s">
        <v>56</v>
      </c>
      <c r="B135" s="7" t="s">
        <v>42</v>
      </c>
      <c r="C135" s="7" t="s">
        <v>71</v>
      </c>
      <c r="D135" s="8" t="n">
        <v>90654.16</v>
      </c>
      <c r="E135" s="9" t="n">
        <v>0.09</v>
      </c>
      <c r="F135" s="9" t="n">
        <v>0.56</v>
      </c>
      <c r="G135" s="10" t="n">
        <f aca="false">D135*(1-E135)</f>
        <v>82495.2856</v>
      </c>
      <c r="H135" s="10" t="n">
        <f aca="false">G135*F135</f>
        <v>46197.359936</v>
      </c>
      <c r="I135" s="10" t="n">
        <f aca="false">G135-H135</f>
        <v>36297.925664</v>
      </c>
      <c r="J135" s="8" t="n">
        <v>92487.21</v>
      </c>
      <c r="K135" s="9" t="n">
        <v>0.0859</v>
      </c>
      <c r="L135" s="9" t="n">
        <v>0.5557</v>
      </c>
      <c r="M135" s="10" t="n">
        <f aca="false">J135*(1-K135)</f>
        <v>84542.558661</v>
      </c>
      <c r="N135" s="10" t="n">
        <f aca="false">M135*L135</f>
        <v>46980.2998479177</v>
      </c>
      <c r="O135" s="10" t="n">
        <f aca="false">M135-N135</f>
        <v>37562.2588130823</v>
      </c>
      <c r="P135" s="10" t="n">
        <f aca="false">O135-I135</f>
        <v>1264.33314908231</v>
      </c>
      <c r="Q135" s="10" t="n">
        <f aca="false">(J135-D135)*(1-E135)*(1-F135)</f>
        <v>733.953220000001</v>
      </c>
      <c r="R135" s="10" t="n">
        <f aca="false">J135*(E135-K135)*(1-F135)</f>
        <v>166.84692684</v>
      </c>
      <c r="S135" s="10" t="n">
        <f aca="false">M135*(F135-L135)</f>
        <v>363.533002242307</v>
      </c>
      <c r="T135" s="10" t="n">
        <f aca="false">ROUND(P135-(Q135+R135+S135),2)</f>
        <v>0</v>
      </c>
    </row>
    <row r="136" customFormat="false" ht="15" hidden="false" customHeight="true" outlineLevel="0" collapsed="false">
      <c r="A136" s="7" t="s">
        <v>57</v>
      </c>
      <c r="B136" s="7" t="s">
        <v>42</v>
      </c>
      <c r="C136" s="7" t="s">
        <v>71</v>
      </c>
      <c r="D136" s="8" t="n">
        <v>98574.45</v>
      </c>
      <c r="E136" s="9" t="n">
        <v>0.09</v>
      </c>
      <c r="F136" s="9" t="n">
        <v>0.56</v>
      </c>
      <c r="G136" s="10" t="n">
        <f aca="false">D136*(1-E136)</f>
        <v>89702.7495</v>
      </c>
      <c r="H136" s="10" t="n">
        <f aca="false">G136*F136</f>
        <v>50233.53972</v>
      </c>
      <c r="I136" s="10" t="n">
        <f aca="false">G136-H136</f>
        <v>39469.20978</v>
      </c>
      <c r="J136" s="8" t="n">
        <v>102863.53</v>
      </c>
      <c r="K136" s="9" t="n">
        <v>0.0793</v>
      </c>
      <c r="L136" s="9" t="n">
        <v>0.5568</v>
      </c>
      <c r="M136" s="10" t="n">
        <f aca="false">J136*(1-K136)</f>
        <v>94706.452071</v>
      </c>
      <c r="N136" s="10" t="n">
        <f aca="false">M136*L136</f>
        <v>52732.5525131328</v>
      </c>
      <c r="O136" s="10" t="n">
        <f aca="false">M136-N136</f>
        <v>41973.8995578672</v>
      </c>
      <c r="P136" s="10" t="n">
        <f aca="false">O136-I136</f>
        <v>2504.68977786721</v>
      </c>
      <c r="Q136" s="10" t="n">
        <f aca="false">(J136-D136)*(1-E136)*(1-F136)</f>
        <v>1717.347632</v>
      </c>
      <c r="R136" s="10" t="n">
        <f aca="false">J136*(E136-K136)*(1-F136)</f>
        <v>484.28149924</v>
      </c>
      <c r="S136" s="10" t="n">
        <f aca="false">M136*(F136-L136)</f>
        <v>303.060646627209</v>
      </c>
      <c r="T136" s="10" t="n">
        <f aca="false">ROUND(P136-(Q136+R136+S136),2)</f>
        <v>0</v>
      </c>
    </row>
    <row r="137" customFormat="false" ht="15" hidden="false" customHeight="true" outlineLevel="0" collapsed="false">
      <c r="A137" s="7" t="s">
        <v>58</v>
      </c>
      <c r="B137" s="7" t="s">
        <v>42</v>
      </c>
      <c r="C137" s="7" t="s">
        <v>71</v>
      </c>
      <c r="D137" s="8" t="n">
        <v>102418.9</v>
      </c>
      <c r="E137" s="9" t="n">
        <v>0.09</v>
      </c>
      <c r="F137" s="9" t="n">
        <v>0.56</v>
      </c>
      <c r="G137" s="10" t="n">
        <f aca="false">D137*(1-E137)</f>
        <v>93201.199</v>
      </c>
      <c r="H137" s="10" t="n">
        <f aca="false">G137*F137</f>
        <v>52192.67144</v>
      </c>
      <c r="I137" s="10" t="n">
        <f aca="false">G137-H137</f>
        <v>41008.52756</v>
      </c>
      <c r="J137" s="8" t="n">
        <v>114424.33</v>
      </c>
      <c r="K137" s="9" t="n">
        <v>0.0909</v>
      </c>
      <c r="L137" s="9" t="n">
        <v>0.5543</v>
      </c>
      <c r="M137" s="10" t="n">
        <f aca="false">J137*(1-K137)</f>
        <v>104023.158403</v>
      </c>
      <c r="N137" s="10" t="n">
        <f aca="false">M137*L137</f>
        <v>57660.0367027829</v>
      </c>
      <c r="O137" s="10" t="n">
        <f aca="false">M137-N137</f>
        <v>46363.1217002171</v>
      </c>
      <c r="P137" s="10" t="n">
        <f aca="false">O137-I137</f>
        <v>5354.59414021711</v>
      </c>
      <c r="Q137" s="10" t="n">
        <f aca="false">(J137-D137)*(1-E137)*(1-F137)</f>
        <v>4806.974172</v>
      </c>
      <c r="R137" s="10" t="n">
        <f aca="false">J137*(E137-K137)*(1-F137)</f>
        <v>-45.3120346799999</v>
      </c>
      <c r="S137" s="10" t="n">
        <f aca="false">M137*(F137-L137)</f>
        <v>592.932002897104</v>
      </c>
      <c r="T137" s="10" t="n">
        <f aca="false">ROUND(P137-(Q137+R137+S137),2)</f>
        <v>0</v>
      </c>
    </row>
    <row r="138" customFormat="false" ht="15" hidden="false" customHeight="true" outlineLevel="0" collapsed="false">
      <c r="A138" s="7" t="s">
        <v>59</v>
      </c>
      <c r="B138" s="7" t="s">
        <v>42</v>
      </c>
      <c r="C138" s="7" t="s">
        <v>71</v>
      </c>
      <c r="D138" s="8" t="n">
        <v>105255.57</v>
      </c>
      <c r="E138" s="9" t="n">
        <v>0.09</v>
      </c>
      <c r="F138" s="9" t="n">
        <v>0.56</v>
      </c>
      <c r="G138" s="10" t="n">
        <f aca="false">D138*(1-E138)</f>
        <v>95782.5687</v>
      </c>
      <c r="H138" s="10" t="n">
        <f aca="false">G138*F138</f>
        <v>53638.238472</v>
      </c>
      <c r="I138" s="10" t="n">
        <f aca="false">G138-H138</f>
        <v>42144.330228</v>
      </c>
      <c r="J138" s="8" t="n">
        <v>100710.57</v>
      </c>
      <c r="K138" s="9" t="n">
        <v>0.0751</v>
      </c>
      <c r="L138" s="9" t="n">
        <v>0.5585</v>
      </c>
      <c r="M138" s="10" t="n">
        <f aca="false">J138*(1-K138)</f>
        <v>93147.206193</v>
      </c>
      <c r="N138" s="10" t="n">
        <f aca="false">M138*L138</f>
        <v>52022.7146587905</v>
      </c>
      <c r="O138" s="10" t="n">
        <f aca="false">M138-N138</f>
        <v>41124.4915342095</v>
      </c>
      <c r="P138" s="10" t="n">
        <f aca="false">O138-I138</f>
        <v>-1019.83869379049</v>
      </c>
      <c r="Q138" s="10" t="n">
        <f aca="false">(J138-D138)*(1-E138)*(1-F138)</f>
        <v>-1819.818</v>
      </c>
      <c r="R138" s="10" t="n">
        <f aca="false">J138*(E138-K138)*(1-F138)</f>
        <v>660.25849692</v>
      </c>
      <c r="S138" s="10" t="n">
        <f aca="false">M138*(F138-L138)</f>
        <v>139.720809289505</v>
      </c>
      <c r="T138" s="10" t="n">
        <f aca="false">ROUND(P138-(Q138+R138+S138),2)</f>
        <v>0</v>
      </c>
    </row>
    <row r="139" customFormat="false" ht="15" hidden="false" customHeight="true" outlineLevel="0" collapsed="false">
      <c r="A139" s="7" t="s">
        <v>60</v>
      </c>
      <c r="B139" s="7" t="s">
        <v>42</v>
      </c>
      <c r="C139" s="7" t="s">
        <v>71</v>
      </c>
      <c r="D139" s="8" t="n">
        <v>108122.1</v>
      </c>
      <c r="E139" s="9" t="n">
        <v>0.09</v>
      </c>
      <c r="F139" s="9" t="n">
        <v>0.56</v>
      </c>
      <c r="G139" s="10" t="n">
        <f aca="false">D139*(1-E139)</f>
        <v>98391.111</v>
      </c>
      <c r="H139" s="10" t="n">
        <f aca="false">G139*F139</f>
        <v>55099.02216</v>
      </c>
      <c r="I139" s="10" t="n">
        <f aca="false">G139-H139</f>
        <v>43292.08884</v>
      </c>
      <c r="J139" s="8" t="n">
        <v>98313.51</v>
      </c>
      <c r="K139" s="9" t="n">
        <v>0.1066</v>
      </c>
      <c r="L139" s="9" t="n">
        <v>0.5563</v>
      </c>
      <c r="M139" s="10" t="n">
        <f aca="false">J139*(1-K139)</f>
        <v>87833.289834</v>
      </c>
      <c r="N139" s="10" t="n">
        <f aca="false">M139*L139</f>
        <v>48861.6591346542</v>
      </c>
      <c r="O139" s="10" t="n">
        <f aca="false">M139-N139</f>
        <v>38971.6306993458</v>
      </c>
      <c r="P139" s="10" t="n">
        <f aca="false">O139-I139</f>
        <v>-4320.4581406542</v>
      </c>
      <c r="Q139" s="10" t="n">
        <f aca="false">(J139-D139)*(1-E139)*(1-F139)</f>
        <v>-3927.359436</v>
      </c>
      <c r="R139" s="10" t="n">
        <f aca="false">J139*(E139-K139)*(1-F139)</f>
        <v>-718.08187704</v>
      </c>
      <c r="S139" s="10" t="n">
        <f aca="false">M139*(F139-L139)</f>
        <v>324.983172385803</v>
      </c>
      <c r="T139" s="10" t="n">
        <f aca="false">ROUND(P139-(Q139+R139+S139),2)</f>
        <v>0</v>
      </c>
    </row>
    <row r="140" customFormat="false" ht="15" hidden="false" customHeight="true" outlineLevel="0" collapsed="false">
      <c r="A140" s="7" t="s">
        <v>61</v>
      </c>
      <c r="B140" s="7" t="s">
        <v>42</v>
      </c>
      <c r="C140" s="7" t="s">
        <v>71</v>
      </c>
      <c r="D140" s="8" t="n">
        <v>106748.56</v>
      </c>
      <c r="E140" s="9" t="n">
        <v>0.09</v>
      </c>
      <c r="F140" s="9" t="n">
        <v>0.56</v>
      </c>
      <c r="G140" s="10" t="n">
        <f aca="false">D140*(1-E140)</f>
        <v>97141.1896</v>
      </c>
      <c r="H140" s="10" t="n">
        <f aca="false">G140*F140</f>
        <v>54399.066176</v>
      </c>
      <c r="I140" s="10" t="n">
        <f aca="false">G140-H140</f>
        <v>42742.123424</v>
      </c>
      <c r="J140" s="8" t="n">
        <v>108402.86</v>
      </c>
      <c r="K140" s="9" t="n">
        <v>0.1005</v>
      </c>
      <c r="L140" s="9" t="n">
        <v>0.5667</v>
      </c>
      <c r="M140" s="10" t="n">
        <f aca="false">J140*(1-K140)</f>
        <v>97508.37257</v>
      </c>
      <c r="N140" s="10" t="n">
        <f aca="false">M140*L140</f>
        <v>55257.994735419</v>
      </c>
      <c r="O140" s="10" t="n">
        <f aca="false">M140-N140</f>
        <v>42250.377834581</v>
      </c>
      <c r="P140" s="10" t="n">
        <f aca="false">O140-I140</f>
        <v>-491.745589418992</v>
      </c>
      <c r="Q140" s="10" t="n">
        <f aca="false">(J140-D140)*(1-E140)*(1-F140)</f>
        <v>662.381720000001</v>
      </c>
      <c r="R140" s="10" t="n">
        <f aca="false">J140*(E140-K140)*(1-F140)</f>
        <v>-500.8212132</v>
      </c>
      <c r="S140" s="10" t="n">
        <f aca="false">M140*(F140-L140)</f>
        <v>-653.306096218993</v>
      </c>
      <c r="T140" s="10" t="n">
        <f aca="false">ROUND(P140-(Q140+R140+S140),2)</f>
        <v>0</v>
      </c>
    </row>
    <row r="141" customFormat="false" ht="15" hidden="false" customHeight="true" outlineLevel="0" collapsed="false">
      <c r="A141" s="7" t="s">
        <v>62</v>
      </c>
      <c r="B141" s="7" t="s">
        <v>42</v>
      </c>
      <c r="C141" s="7" t="s">
        <v>71</v>
      </c>
      <c r="D141" s="8" t="n">
        <v>110719.9</v>
      </c>
      <c r="E141" s="9" t="n">
        <v>0.09</v>
      </c>
      <c r="F141" s="9" t="n">
        <v>0.56</v>
      </c>
      <c r="G141" s="10" t="n">
        <f aca="false">D141*(1-E141)</f>
        <v>100755.109</v>
      </c>
      <c r="H141" s="10" t="n">
        <f aca="false">G141*F141</f>
        <v>56422.86104</v>
      </c>
      <c r="I141" s="10" t="n">
        <f aca="false">G141-H141</f>
        <v>44332.24796</v>
      </c>
      <c r="J141" s="8" t="n">
        <v>103613.04</v>
      </c>
      <c r="K141" s="9" t="n">
        <v>0.0861</v>
      </c>
      <c r="L141" s="9" t="n">
        <v>0.5678</v>
      </c>
      <c r="M141" s="10" t="n">
        <f aca="false">J141*(1-K141)</f>
        <v>94691.957256</v>
      </c>
      <c r="N141" s="10" t="n">
        <f aca="false">M141*L141</f>
        <v>53766.0933299568</v>
      </c>
      <c r="O141" s="10" t="n">
        <f aca="false">M141-N141</f>
        <v>40925.8639260432</v>
      </c>
      <c r="P141" s="10" t="n">
        <f aca="false">O141-I141</f>
        <v>-3406.38403395679</v>
      </c>
      <c r="Q141" s="10" t="n">
        <f aca="false">(J141-D141)*(1-E141)*(1-F141)</f>
        <v>-2845.586744</v>
      </c>
      <c r="R141" s="10" t="n">
        <f aca="false">J141*(E141-K141)*(1-F141)</f>
        <v>177.79997664</v>
      </c>
      <c r="S141" s="10" t="n">
        <f aca="false">M141*(F141-L141)</f>
        <v>-738.597266596792</v>
      </c>
      <c r="T141" s="10" t="n">
        <f aca="false">ROUND(P141-(Q141+R141+S141),2)</f>
        <v>0</v>
      </c>
    </row>
    <row r="142" customFormat="false" ht="15" hidden="false" customHeight="true" outlineLevel="0" collapsed="false">
      <c r="A142" s="7" t="s">
        <v>63</v>
      </c>
      <c r="B142" s="7" t="s">
        <v>42</v>
      </c>
      <c r="C142" s="7" t="s">
        <v>71</v>
      </c>
      <c r="D142" s="8" t="n">
        <v>113653.62</v>
      </c>
      <c r="E142" s="9" t="n">
        <v>0.09</v>
      </c>
      <c r="F142" s="9" t="n">
        <v>0.56</v>
      </c>
      <c r="G142" s="10" t="n">
        <f aca="false">D142*(1-E142)</f>
        <v>103424.7942</v>
      </c>
      <c r="H142" s="10" t="n">
        <f aca="false">G142*F142</f>
        <v>57917.884752</v>
      </c>
      <c r="I142" s="10" t="n">
        <f aca="false">G142-H142</f>
        <v>45506.909448</v>
      </c>
      <c r="J142" s="8" t="n">
        <v>105992.74</v>
      </c>
      <c r="K142" s="9" t="n">
        <v>0.0829</v>
      </c>
      <c r="L142" s="9" t="n">
        <v>0.5642</v>
      </c>
      <c r="M142" s="10" t="n">
        <f aca="false">J142*(1-K142)</f>
        <v>97205.941854</v>
      </c>
      <c r="N142" s="10" t="n">
        <f aca="false">M142*L142</f>
        <v>54843.5923940268</v>
      </c>
      <c r="O142" s="10" t="n">
        <f aca="false">M142-N142</f>
        <v>42362.3494599732</v>
      </c>
      <c r="P142" s="10" t="n">
        <f aca="false">O142-I142</f>
        <v>-3144.5599880268</v>
      </c>
      <c r="Q142" s="10" t="n">
        <f aca="false">(J142-D142)*(1-E142)*(1-F142)</f>
        <v>-3067.416352</v>
      </c>
      <c r="R142" s="10" t="n">
        <f aca="false">J142*(E142-K142)*(1-F142)</f>
        <v>331.12131976</v>
      </c>
      <c r="S142" s="10" t="n">
        <f aca="false">M142*(F142-L142)</f>
        <v>-408.264955786798</v>
      </c>
      <c r="T142" s="10" t="n">
        <f aca="false">ROUND(P142-(Q142+R142+S142),2)</f>
        <v>0</v>
      </c>
    </row>
    <row r="143" customFormat="false" ht="15" hidden="false" customHeight="true" outlineLevel="0" collapsed="false">
      <c r="A143" s="7" t="s">
        <v>64</v>
      </c>
      <c r="B143" s="7" t="s">
        <v>42</v>
      </c>
      <c r="C143" s="7" t="s">
        <v>71</v>
      </c>
      <c r="D143" s="8" t="n">
        <v>119886.84</v>
      </c>
      <c r="E143" s="9" t="n">
        <v>0.09</v>
      </c>
      <c r="F143" s="9" t="n">
        <v>0.56</v>
      </c>
      <c r="G143" s="10" t="n">
        <f aca="false">D143*(1-E143)</f>
        <v>109097.0244</v>
      </c>
      <c r="H143" s="10" t="n">
        <f aca="false">G143*F143</f>
        <v>61094.333664</v>
      </c>
      <c r="I143" s="10" t="n">
        <f aca="false">G143-H143</f>
        <v>48002.690736</v>
      </c>
      <c r="J143" s="8" t="n">
        <v>119528.83</v>
      </c>
      <c r="K143" s="9" t="n">
        <v>0.0789</v>
      </c>
      <c r="L143" s="9" t="n">
        <v>0.57</v>
      </c>
      <c r="M143" s="10" t="n">
        <f aca="false">J143*(1-K143)</f>
        <v>110098.005313</v>
      </c>
      <c r="N143" s="10" t="n">
        <f aca="false">M143*L143</f>
        <v>62755.86302841</v>
      </c>
      <c r="O143" s="10" t="n">
        <f aca="false">M143-N143</f>
        <v>47342.14228459</v>
      </c>
      <c r="P143" s="10" t="n">
        <f aca="false">O143-I143</f>
        <v>-660.548451409981</v>
      </c>
      <c r="Q143" s="10" t="n">
        <f aca="false">(J143-D143)*(1-E143)*(1-F143)</f>
        <v>-143.347203999998</v>
      </c>
      <c r="R143" s="10" t="n">
        <f aca="false">J143*(E143-K143)*(1-F143)</f>
        <v>583.77880572</v>
      </c>
      <c r="S143" s="10" t="n">
        <f aca="false">M143*(F143-L143)</f>
        <v>-1100.98005312999</v>
      </c>
      <c r="T143" s="10" t="n">
        <f aca="false">ROUND(P143-(Q143+R143+S143),2)</f>
        <v>0</v>
      </c>
    </row>
    <row r="144" customFormat="false" ht="15" hidden="false" customHeight="true" outlineLevel="0" collapsed="false">
      <c r="A144" s="7" t="s">
        <v>65</v>
      </c>
      <c r="B144" s="7" t="s">
        <v>42</v>
      </c>
      <c r="C144" s="7" t="s">
        <v>71</v>
      </c>
      <c r="D144" s="8" t="n">
        <v>142654.89</v>
      </c>
      <c r="E144" s="9" t="n">
        <v>0.09</v>
      </c>
      <c r="F144" s="9" t="n">
        <v>0.56</v>
      </c>
      <c r="G144" s="10" t="n">
        <f aca="false">D144*(1-E144)</f>
        <v>129815.9499</v>
      </c>
      <c r="H144" s="10" t="n">
        <f aca="false">G144*F144</f>
        <v>72696.931944</v>
      </c>
      <c r="I144" s="10" t="n">
        <f aca="false">G144-H144</f>
        <v>57119.017956</v>
      </c>
      <c r="J144" s="8" t="n">
        <v>152137.01</v>
      </c>
      <c r="K144" s="9" t="n">
        <v>0.0801</v>
      </c>
      <c r="L144" s="9" t="n">
        <v>0.5571</v>
      </c>
      <c r="M144" s="10" t="n">
        <f aca="false">J144*(1-K144)</f>
        <v>139950.835499</v>
      </c>
      <c r="N144" s="10" t="n">
        <f aca="false">M144*L144</f>
        <v>77966.6104564929</v>
      </c>
      <c r="O144" s="10" t="n">
        <f aca="false">M144-N144</f>
        <v>61984.2250425071</v>
      </c>
      <c r="P144" s="10" t="n">
        <f aca="false">O144-I144</f>
        <v>4865.2070865071</v>
      </c>
      <c r="Q144" s="10" t="n">
        <f aca="false">(J144-D144)*(1-E144)*(1-F144)</f>
        <v>3796.640848</v>
      </c>
      <c r="R144" s="10" t="n">
        <f aca="false">J144*(E144-K144)*(1-F144)</f>
        <v>662.708815559999</v>
      </c>
      <c r="S144" s="10" t="n">
        <f aca="false">M144*(F144-L144)</f>
        <v>405.857422947102</v>
      </c>
      <c r="T144" s="10" t="n">
        <f aca="false">ROUND(P144-(Q144+R144+S144),2)</f>
        <v>0</v>
      </c>
    </row>
    <row r="145" customFormat="false" ht="15" hidden="false" customHeight="true" outlineLevel="0" collapsed="false">
      <c r="A145" s="7" t="s">
        <v>66</v>
      </c>
      <c r="B145" s="7" t="s">
        <v>42</v>
      </c>
      <c r="C145" s="7" t="s">
        <v>71</v>
      </c>
      <c r="D145" s="8" t="n">
        <v>134786.85</v>
      </c>
      <c r="E145" s="9" t="n">
        <v>0.09</v>
      </c>
      <c r="F145" s="9" t="n">
        <v>0.56</v>
      </c>
      <c r="G145" s="10" t="n">
        <f aca="false">D145*(1-E145)</f>
        <v>122656.0335</v>
      </c>
      <c r="H145" s="10" t="n">
        <f aca="false">G145*F145</f>
        <v>68687.37876</v>
      </c>
      <c r="I145" s="10" t="n">
        <f aca="false">G145-H145</f>
        <v>53968.65474</v>
      </c>
      <c r="J145" s="8" t="n">
        <v>128983.97</v>
      </c>
      <c r="K145" s="9" t="n">
        <v>0.1086</v>
      </c>
      <c r="L145" s="9" t="n">
        <v>0.5552</v>
      </c>
      <c r="M145" s="10" t="n">
        <f aca="false">J145*(1-K145)</f>
        <v>114976.310858</v>
      </c>
      <c r="N145" s="10" t="n">
        <f aca="false">M145*L145</f>
        <v>63834.8477883616</v>
      </c>
      <c r="O145" s="10" t="n">
        <f aca="false">M145-N145</f>
        <v>51141.4630696384</v>
      </c>
      <c r="P145" s="10" t="n">
        <f aca="false">O145-I145</f>
        <v>-2827.1916703616</v>
      </c>
      <c r="Q145" s="10" t="n">
        <f aca="false">(J145-D145)*(1-E145)*(1-F145)</f>
        <v>-2323.473152</v>
      </c>
      <c r="R145" s="10" t="n">
        <f aca="false">J145*(E145-K145)*(1-F145)</f>
        <v>-1055.60481048</v>
      </c>
      <c r="S145" s="10" t="n">
        <f aca="false">M145*(F145-L145)</f>
        <v>551.886292118403</v>
      </c>
      <c r="T145" s="10" t="n">
        <f aca="false">ROUND(P145-(Q145+R145+S145),2)</f>
        <v>0</v>
      </c>
    </row>
    <row r="146" customFormat="false" ht="15" hidden="false" customHeight="true" outlineLevel="0" collapsed="false">
      <c r="A146" s="7" t="s">
        <v>41</v>
      </c>
      <c r="B146" s="7" t="s">
        <v>72</v>
      </c>
      <c r="C146" s="7" t="s">
        <v>43</v>
      </c>
      <c r="D146" s="8" t="n">
        <v>192953.99</v>
      </c>
      <c r="E146" s="9" t="n">
        <v>0.1</v>
      </c>
      <c r="F146" s="9" t="n">
        <v>0.62</v>
      </c>
      <c r="G146" s="10" t="n">
        <f aca="false">D146*(1-E146)</f>
        <v>173658.591</v>
      </c>
      <c r="H146" s="10" t="n">
        <f aca="false">G146*F146</f>
        <v>107668.32642</v>
      </c>
      <c r="I146" s="10" t="n">
        <f aca="false">G146-H146</f>
        <v>65990.26458</v>
      </c>
      <c r="J146" s="8" t="n">
        <v>185712.67</v>
      </c>
      <c r="K146" s="9" t="n">
        <v>0.1138</v>
      </c>
      <c r="L146" s="9" t="n">
        <v>0.6257</v>
      </c>
      <c r="M146" s="10" t="n">
        <f aca="false">J146*(1-K146)</f>
        <v>164578.568154</v>
      </c>
      <c r="N146" s="10" t="n">
        <f aca="false">M146*L146</f>
        <v>102976.810093958</v>
      </c>
      <c r="O146" s="10" t="n">
        <f aca="false">M146-N146</f>
        <v>61601.7580600422</v>
      </c>
      <c r="P146" s="10" t="n">
        <f aca="false">O146-I146</f>
        <v>-4388.5065199578</v>
      </c>
      <c r="Q146" s="10" t="n">
        <f aca="false">(J146-D146)*(1-E146)*(1-F146)</f>
        <v>-2476.53143999999</v>
      </c>
      <c r="R146" s="10" t="n">
        <f aca="false">J146*(E146-K146)*(1-F146)</f>
        <v>-973.87724148</v>
      </c>
      <c r="S146" s="10" t="n">
        <f aca="false">M146*(F146-L146)</f>
        <v>-938.097838477806</v>
      </c>
      <c r="T146" s="10" t="n">
        <f aca="false">ROUND(P146-(Q146+R146+S146),2)</f>
        <v>0</v>
      </c>
    </row>
    <row r="147" customFormat="false" ht="15" hidden="false" customHeight="true" outlineLevel="0" collapsed="false">
      <c r="A147" s="7" t="s">
        <v>44</v>
      </c>
      <c r="B147" s="7" t="s">
        <v>72</v>
      </c>
      <c r="C147" s="7" t="s">
        <v>43</v>
      </c>
      <c r="D147" s="8" t="n">
        <v>190175.45</v>
      </c>
      <c r="E147" s="9" t="n">
        <v>0.1</v>
      </c>
      <c r="F147" s="9" t="n">
        <v>0.62</v>
      </c>
      <c r="G147" s="10" t="n">
        <f aca="false">D147*(1-E147)</f>
        <v>171157.905</v>
      </c>
      <c r="H147" s="10" t="n">
        <f aca="false">G147*F147</f>
        <v>106117.9011</v>
      </c>
      <c r="I147" s="10" t="n">
        <f aca="false">G147-H147</f>
        <v>65040.0039</v>
      </c>
      <c r="J147" s="8" t="n">
        <v>187932.27</v>
      </c>
      <c r="K147" s="9" t="n">
        <v>0.1175</v>
      </c>
      <c r="L147" s="9" t="n">
        <v>0.6151</v>
      </c>
      <c r="M147" s="10" t="n">
        <f aca="false">J147*(1-K147)</f>
        <v>165850.228275</v>
      </c>
      <c r="N147" s="10" t="n">
        <f aca="false">M147*L147</f>
        <v>102014.475411953</v>
      </c>
      <c r="O147" s="10" t="n">
        <f aca="false">M147-N147</f>
        <v>63835.7528630475</v>
      </c>
      <c r="P147" s="10" t="n">
        <f aca="false">O147-I147</f>
        <v>-1204.25103695251</v>
      </c>
      <c r="Q147" s="10" t="n">
        <f aca="false">(J147-D147)*(1-E147)*(1-F147)</f>
        <v>-767.167560000008</v>
      </c>
      <c r="R147" s="10" t="n">
        <f aca="false">J147*(E147-K147)*(1-F147)</f>
        <v>-1249.7495955</v>
      </c>
      <c r="S147" s="10" t="n">
        <f aca="false">M147*(F147-L147)</f>
        <v>812.666118547503</v>
      </c>
      <c r="T147" s="10" t="n">
        <f aca="false">ROUND(P147-(Q147+R147+S147),2)</f>
        <v>-0</v>
      </c>
    </row>
    <row r="148" customFormat="false" ht="15" hidden="false" customHeight="true" outlineLevel="0" collapsed="false">
      <c r="A148" s="7" t="s">
        <v>45</v>
      </c>
      <c r="B148" s="7" t="s">
        <v>72</v>
      </c>
      <c r="C148" s="7" t="s">
        <v>43</v>
      </c>
      <c r="D148" s="8" t="n">
        <v>206932.43</v>
      </c>
      <c r="E148" s="9" t="n">
        <v>0.1</v>
      </c>
      <c r="F148" s="9" t="n">
        <v>0.62</v>
      </c>
      <c r="G148" s="10" t="n">
        <f aca="false">D148*(1-E148)</f>
        <v>186239.187</v>
      </c>
      <c r="H148" s="10" t="n">
        <f aca="false">G148*F148</f>
        <v>115468.29594</v>
      </c>
      <c r="I148" s="10" t="n">
        <f aca="false">G148-H148</f>
        <v>70770.89106</v>
      </c>
      <c r="J148" s="8" t="n">
        <v>203245.56</v>
      </c>
      <c r="K148" s="9" t="n">
        <v>0.0803</v>
      </c>
      <c r="L148" s="9" t="n">
        <v>0.6279</v>
      </c>
      <c r="M148" s="10" t="n">
        <f aca="false">J148*(1-K148)</f>
        <v>186924.941532</v>
      </c>
      <c r="N148" s="10" t="n">
        <f aca="false">M148*L148</f>
        <v>117370.170787943</v>
      </c>
      <c r="O148" s="10" t="n">
        <f aca="false">M148-N148</f>
        <v>69554.7707440572</v>
      </c>
      <c r="P148" s="10" t="n">
        <f aca="false">O148-I148</f>
        <v>-1216.12031594281</v>
      </c>
      <c r="Q148" s="10" t="n">
        <f aca="false">(J148-D148)*(1-E148)*(1-F148)</f>
        <v>-1260.90954</v>
      </c>
      <c r="R148" s="10" t="n">
        <f aca="false">J148*(E148-K148)*(1-F148)</f>
        <v>1521.49626216</v>
      </c>
      <c r="S148" s="10" t="n">
        <f aca="false">M148*(F148-L148)</f>
        <v>-1476.7070381028</v>
      </c>
      <c r="T148" s="10" t="n">
        <f aca="false">ROUND(P148-(Q148+R148+S148),2)</f>
        <v>-0</v>
      </c>
    </row>
    <row r="149" customFormat="false" ht="15" hidden="false" customHeight="true" outlineLevel="0" collapsed="false">
      <c r="A149" s="7" t="s">
        <v>46</v>
      </c>
      <c r="B149" s="7" t="s">
        <v>72</v>
      </c>
      <c r="C149" s="7" t="s">
        <v>43</v>
      </c>
      <c r="D149" s="8" t="n">
        <v>215147.99</v>
      </c>
      <c r="E149" s="9" t="n">
        <v>0.1</v>
      </c>
      <c r="F149" s="9" t="n">
        <v>0.62</v>
      </c>
      <c r="G149" s="10" t="n">
        <f aca="false">D149*(1-E149)</f>
        <v>193633.191</v>
      </c>
      <c r="H149" s="10" t="n">
        <f aca="false">G149*F149</f>
        <v>120052.57842</v>
      </c>
      <c r="I149" s="10" t="n">
        <f aca="false">G149-H149</f>
        <v>73580.61258</v>
      </c>
      <c r="J149" s="8" t="n">
        <v>227105.63</v>
      </c>
      <c r="K149" s="9" t="n">
        <v>0.0983</v>
      </c>
      <c r="L149" s="9" t="n">
        <v>0.6203</v>
      </c>
      <c r="M149" s="10" t="n">
        <f aca="false">J149*(1-K149)</f>
        <v>204781.146571</v>
      </c>
      <c r="N149" s="10" t="n">
        <f aca="false">M149*L149</f>
        <v>127025.745217991</v>
      </c>
      <c r="O149" s="10" t="n">
        <f aca="false">M149-N149</f>
        <v>77755.4013530087</v>
      </c>
      <c r="P149" s="10" t="n">
        <f aca="false">O149-I149</f>
        <v>4174.78877300871</v>
      </c>
      <c r="Q149" s="10" t="n">
        <f aca="false">(J149-D149)*(1-E149)*(1-F149)</f>
        <v>4089.51288</v>
      </c>
      <c r="R149" s="10" t="n">
        <f aca="false">J149*(E149-K149)*(1-F149)</f>
        <v>146.710236980001</v>
      </c>
      <c r="S149" s="10" t="n">
        <f aca="false">M149*(F149-L149)</f>
        <v>-61.4343439712932</v>
      </c>
      <c r="T149" s="10" t="n">
        <f aca="false">ROUND(P149-(Q149+R149+S149),2)</f>
        <v>0</v>
      </c>
    </row>
    <row r="150" customFormat="false" ht="15" hidden="false" customHeight="true" outlineLevel="0" collapsed="false">
      <c r="A150" s="7" t="s">
        <v>47</v>
      </c>
      <c r="B150" s="7" t="s">
        <v>72</v>
      </c>
      <c r="C150" s="7" t="s">
        <v>43</v>
      </c>
      <c r="D150" s="8" t="n">
        <v>221253.91</v>
      </c>
      <c r="E150" s="9" t="n">
        <v>0.1</v>
      </c>
      <c r="F150" s="9" t="n">
        <v>0.62</v>
      </c>
      <c r="G150" s="10" t="n">
        <f aca="false">D150*(1-E150)</f>
        <v>199128.519</v>
      </c>
      <c r="H150" s="10" t="n">
        <f aca="false">G150*F150</f>
        <v>123459.68178</v>
      </c>
      <c r="I150" s="10" t="n">
        <f aca="false">G150-H150</f>
        <v>75668.83722</v>
      </c>
      <c r="J150" s="8" t="n">
        <v>221379</v>
      </c>
      <c r="K150" s="9" t="n">
        <v>0.0725</v>
      </c>
      <c r="L150" s="9" t="n">
        <v>0.6166</v>
      </c>
      <c r="M150" s="10" t="n">
        <f aca="false">J150*(1-K150)</f>
        <v>205329.0225</v>
      </c>
      <c r="N150" s="10" t="n">
        <f aca="false">M150*L150</f>
        <v>126605.8752735</v>
      </c>
      <c r="O150" s="10" t="n">
        <f aca="false">M150-N150</f>
        <v>78723.1472265</v>
      </c>
      <c r="P150" s="10" t="n">
        <f aca="false">O150-I150</f>
        <v>3054.31000649999</v>
      </c>
      <c r="Q150" s="10" t="n">
        <f aca="false">(J150-D150)*(1-E150)*(1-F150)</f>
        <v>42.7807799999988</v>
      </c>
      <c r="R150" s="10" t="n">
        <f aca="false">J150*(E150-K150)*(1-F150)</f>
        <v>2313.41055</v>
      </c>
      <c r="S150" s="10" t="n">
        <f aca="false">M150*(F150-L150)</f>
        <v>698.118676499992</v>
      </c>
      <c r="T150" s="10" t="n">
        <f aca="false">ROUND(P150-(Q150+R150+S150),2)</f>
        <v>0</v>
      </c>
    </row>
    <row r="151" customFormat="false" ht="15" hidden="false" customHeight="true" outlineLevel="0" collapsed="false">
      <c r="A151" s="7" t="s">
        <v>48</v>
      </c>
      <c r="B151" s="7" t="s">
        <v>72</v>
      </c>
      <c r="C151" s="7" t="s">
        <v>43</v>
      </c>
      <c r="D151" s="8" t="n">
        <v>227428.43</v>
      </c>
      <c r="E151" s="9" t="n">
        <v>0.1</v>
      </c>
      <c r="F151" s="9" t="n">
        <v>0.62</v>
      </c>
      <c r="G151" s="10" t="n">
        <f aca="false">D151*(1-E151)</f>
        <v>204685.587</v>
      </c>
      <c r="H151" s="10" t="n">
        <f aca="false">G151*F151</f>
        <v>126905.06394</v>
      </c>
      <c r="I151" s="10" t="n">
        <f aca="false">G151-H151</f>
        <v>77780.52306</v>
      </c>
      <c r="J151" s="8" t="n">
        <v>212988.89</v>
      </c>
      <c r="K151" s="9" t="n">
        <v>0.0892</v>
      </c>
      <c r="L151" s="9" t="n">
        <v>0.6162</v>
      </c>
      <c r="M151" s="10" t="n">
        <f aca="false">J151*(1-K151)</f>
        <v>193990.281012</v>
      </c>
      <c r="N151" s="10" t="n">
        <f aca="false">M151*L151</f>
        <v>119536.811159594</v>
      </c>
      <c r="O151" s="10" t="n">
        <f aca="false">M151-N151</f>
        <v>74453.4698524056</v>
      </c>
      <c r="P151" s="10" t="n">
        <f aca="false">O151-I151</f>
        <v>-3327.05320759439</v>
      </c>
      <c r="Q151" s="10" t="n">
        <f aca="false">(J151-D151)*(1-E151)*(1-F151)</f>
        <v>-4938.32267999999</v>
      </c>
      <c r="R151" s="10" t="n">
        <f aca="false">J151*(E151-K151)*(1-F151)</f>
        <v>874.10640456</v>
      </c>
      <c r="S151" s="10" t="n">
        <f aca="false">M151*(F151-L151)</f>
        <v>737.163067845605</v>
      </c>
      <c r="T151" s="10" t="n">
        <f aca="false">ROUND(P151-(Q151+R151+S151),2)</f>
        <v>0</v>
      </c>
    </row>
    <row r="152" customFormat="false" ht="15" hidden="false" customHeight="true" outlineLevel="0" collapsed="false">
      <c r="A152" s="7" t="s">
        <v>49</v>
      </c>
      <c r="B152" s="7" t="s">
        <v>72</v>
      </c>
      <c r="C152" s="7" t="s">
        <v>43</v>
      </c>
      <c r="D152" s="8" t="n">
        <v>224684.2</v>
      </c>
      <c r="E152" s="9" t="n">
        <v>0.1</v>
      </c>
      <c r="F152" s="9" t="n">
        <v>0.62</v>
      </c>
      <c r="G152" s="10" t="n">
        <f aca="false">D152*(1-E152)</f>
        <v>202215.78</v>
      </c>
      <c r="H152" s="10" t="n">
        <f aca="false">G152*F152</f>
        <v>125373.7836</v>
      </c>
      <c r="I152" s="10" t="n">
        <f aca="false">G152-H152</f>
        <v>76841.9964</v>
      </c>
      <c r="J152" s="8" t="n">
        <v>251618.72</v>
      </c>
      <c r="K152" s="9" t="n">
        <v>0.106</v>
      </c>
      <c r="L152" s="9" t="n">
        <v>0.6227</v>
      </c>
      <c r="M152" s="10" t="n">
        <f aca="false">J152*(1-K152)</f>
        <v>224947.13568</v>
      </c>
      <c r="N152" s="10" t="n">
        <f aca="false">M152*L152</f>
        <v>140074.581387936</v>
      </c>
      <c r="O152" s="10" t="n">
        <f aca="false">M152-N152</f>
        <v>84872.554292064</v>
      </c>
      <c r="P152" s="10" t="n">
        <f aca="false">O152-I152</f>
        <v>8030.55789206397</v>
      </c>
      <c r="Q152" s="10" t="n">
        <f aca="false">(J152-D152)*(1-E152)*(1-F152)</f>
        <v>9211.60584</v>
      </c>
      <c r="R152" s="10" t="n">
        <f aca="false">J152*(E152-K152)*(1-F152)</f>
        <v>-573.690681599999</v>
      </c>
      <c r="S152" s="10" t="n">
        <f aca="false">M152*(F152-L152)</f>
        <v>-607.357266336008</v>
      </c>
      <c r="T152" s="10" t="n">
        <f aca="false">ROUND(P152-(Q152+R152+S152),2)</f>
        <v>0</v>
      </c>
    </row>
    <row r="153" customFormat="false" ht="15" hidden="false" customHeight="true" outlineLevel="0" collapsed="false">
      <c r="A153" s="7" t="s">
        <v>50</v>
      </c>
      <c r="B153" s="7" t="s">
        <v>72</v>
      </c>
      <c r="C153" s="7" t="s">
        <v>43</v>
      </c>
      <c r="D153" s="8" t="n">
        <v>233191.33</v>
      </c>
      <c r="E153" s="9" t="n">
        <v>0.1</v>
      </c>
      <c r="F153" s="9" t="n">
        <v>0.62</v>
      </c>
      <c r="G153" s="10" t="n">
        <f aca="false">D153*(1-E153)</f>
        <v>209872.197</v>
      </c>
      <c r="H153" s="10" t="n">
        <f aca="false">G153*F153</f>
        <v>130120.76214</v>
      </c>
      <c r="I153" s="10" t="n">
        <f aca="false">G153-H153</f>
        <v>79751.43486</v>
      </c>
      <c r="J153" s="8" t="n">
        <v>225738.63</v>
      </c>
      <c r="K153" s="9" t="n">
        <v>0.0793</v>
      </c>
      <c r="L153" s="9" t="n">
        <v>0.6139</v>
      </c>
      <c r="M153" s="10" t="n">
        <f aca="false">J153*(1-K153)</f>
        <v>207837.556641</v>
      </c>
      <c r="N153" s="10" t="n">
        <f aca="false">M153*L153</f>
        <v>127591.47602191</v>
      </c>
      <c r="O153" s="10" t="n">
        <f aca="false">M153-N153</f>
        <v>80246.0806190901</v>
      </c>
      <c r="P153" s="10" t="n">
        <f aca="false">O153-I153</f>
        <v>494.645759090112</v>
      </c>
      <c r="Q153" s="10" t="n">
        <f aca="false">(J153-D153)*(1-E153)*(1-F153)</f>
        <v>-2548.82339999999</v>
      </c>
      <c r="R153" s="10" t="n">
        <f aca="false">J153*(E153-K153)*(1-F153)</f>
        <v>1775.66006358</v>
      </c>
      <c r="S153" s="10" t="n">
        <f aca="false">M153*(F153-L153)</f>
        <v>1267.8090955101</v>
      </c>
      <c r="T153" s="10" t="n">
        <f aca="false">ROUND(P153-(Q153+R153+S153),2)</f>
        <v>0</v>
      </c>
    </row>
    <row r="154" customFormat="false" ht="15" hidden="false" customHeight="true" outlineLevel="0" collapsed="false">
      <c r="A154" s="7" t="s">
        <v>51</v>
      </c>
      <c r="B154" s="7" t="s">
        <v>72</v>
      </c>
      <c r="C154" s="7" t="s">
        <v>43</v>
      </c>
      <c r="D154" s="8" t="n">
        <v>239520.22</v>
      </c>
      <c r="E154" s="9" t="n">
        <v>0.1</v>
      </c>
      <c r="F154" s="9" t="n">
        <v>0.62</v>
      </c>
      <c r="G154" s="10" t="n">
        <f aca="false">D154*(1-E154)</f>
        <v>215568.198</v>
      </c>
      <c r="H154" s="10" t="n">
        <f aca="false">G154*F154</f>
        <v>133652.28276</v>
      </c>
      <c r="I154" s="10" t="n">
        <f aca="false">G154-H154</f>
        <v>81915.91524</v>
      </c>
      <c r="J154" s="8" t="n">
        <v>219515.52</v>
      </c>
      <c r="K154" s="9" t="n">
        <v>0.1133</v>
      </c>
      <c r="L154" s="9" t="n">
        <v>0.6211</v>
      </c>
      <c r="M154" s="10" t="n">
        <f aca="false">J154*(1-K154)</f>
        <v>194644.411584</v>
      </c>
      <c r="N154" s="10" t="n">
        <f aca="false">M154*L154</f>
        <v>120893.644034822</v>
      </c>
      <c r="O154" s="10" t="n">
        <f aca="false">M154-N154</f>
        <v>73750.7675491776</v>
      </c>
      <c r="P154" s="10" t="n">
        <f aca="false">O154-I154</f>
        <v>-8165.1476908224</v>
      </c>
      <c r="Q154" s="10" t="n">
        <f aca="false">(J154-D154)*(1-E154)*(1-F154)</f>
        <v>-6841.6074</v>
      </c>
      <c r="R154" s="10" t="n">
        <f aca="false">J154*(E154-K154)*(1-F154)</f>
        <v>-1109.43143808</v>
      </c>
      <c r="S154" s="10" t="n">
        <f aca="false">M154*(F154-L154)</f>
        <v>-214.108852742398</v>
      </c>
      <c r="T154" s="10" t="n">
        <f aca="false">ROUND(P154-(Q154+R154+S154),2)</f>
        <v>0</v>
      </c>
    </row>
    <row r="155" customFormat="false" ht="15" hidden="false" customHeight="true" outlineLevel="0" collapsed="false">
      <c r="A155" s="7" t="s">
        <v>52</v>
      </c>
      <c r="B155" s="7" t="s">
        <v>72</v>
      </c>
      <c r="C155" s="7" t="s">
        <v>43</v>
      </c>
      <c r="D155" s="8" t="n">
        <v>252812.6</v>
      </c>
      <c r="E155" s="9" t="n">
        <v>0.1</v>
      </c>
      <c r="F155" s="9" t="n">
        <v>0.62</v>
      </c>
      <c r="G155" s="10" t="n">
        <f aca="false">D155*(1-E155)</f>
        <v>227531.34</v>
      </c>
      <c r="H155" s="10" t="n">
        <f aca="false">G155*F155</f>
        <v>141069.4308</v>
      </c>
      <c r="I155" s="10" t="n">
        <f aca="false">G155-H155</f>
        <v>86461.9092</v>
      </c>
      <c r="J155" s="8" t="n">
        <v>260273.72</v>
      </c>
      <c r="K155" s="9" t="n">
        <v>0.1009</v>
      </c>
      <c r="L155" s="9" t="n">
        <v>0.6297</v>
      </c>
      <c r="M155" s="10" t="n">
        <f aca="false">J155*(1-K155)</f>
        <v>234012.101652</v>
      </c>
      <c r="N155" s="10" t="n">
        <f aca="false">M155*L155</f>
        <v>147357.420410264</v>
      </c>
      <c r="O155" s="10" t="n">
        <f aca="false">M155-N155</f>
        <v>86654.6812417356</v>
      </c>
      <c r="P155" s="10" t="n">
        <f aca="false">O155-I155</f>
        <v>192.772041735589</v>
      </c>
      <c r="Q155" s="10" t="n">
        <f aca="false">(J155-D155)*(1-E155)*(1-F155)</f>
        <v>2551.70304</v>
      </c>
      <c r="R155" s="10" t="n">
        <f aca="false">J155*(E155-K155)*(1-F155)</f>
        <v>-89.0136122399998</v>
      </c>
      <c r="S155" s="10" t="n">
        <f aca="false">M155*(F155-L155)</f>
        <v>-2269.91738602441</v>
      </c>
      <c r="T155" s="10" t="n">
        <f aca="false">ROUND(P155-(Q155+R155+S155),2)</f>
        <v>0</v>
      </c>
    </row>
    <row r="156" customFormat="false" ht="15" hidden="false" customHeight="true" outlineLevel="0" collapsed="false">
      <c r="A156" s="7" t="s">
        <v>53</v>
      </c>
      <c r="B156" s="7" t="s">
        <v>72</v>
      </c>
      <c r="C156" s="7" t="s">
        <v>43</v>
      </c>
      <c r="D156" s="8" t="n">
        <v>301008.22</v>
      </c>
      <c r="E156" s="9" t="n">
        <v>0.1</v>
      </c>
      <c r="F156" s="9" t="n">
        <v>0.62</v>
      </c>
      <c r="G156" s="10" t="n">
        <f aca="false">D156*(1-E156)</f>
        <v>270907.398</v>
      </c>
      <c r="H156" s="10" t="n">
        <f aca="false">G156*F156</f>
        <v>167962.58676</v>
      </c>
      <c r="I156" s="10" t="n">
        <f aca="false">G156-H156</f>
        <v>102944.81124</v>
      </c>
      <c r="J156" s="8" t="n">
        <v>301644.82</v>
      </c>
      <c r="K156" s="9" t="n">
        <v>0.0874</v>
      </c>
      <c r="L156" s="9" t="n">
        <v>0.6173</v>
      </c>
      <c r="M156" s="10" t="n">
        <f aca="false">J156*(1-K156)</f>
        <v>275281.062732</v>
      </c>
      <c r="N156" s="10" t="n">
        <f aca="false">M156*L156</f>
        <v>169931.000024464</v>
      </c>
      <c r="O156" s="10" t="n">
        <f aca="false">M156-N156</f>
        <v>105350.062707536</v>
      </c>
      <c r="P156" s="10" t="n">
        <f aca="false">O156-I156</f>
        <v>2405.25146753641</v>
      </c>
      <c r="Q156" s="10" t="n">
        <f aca="false">(J156-D156)*(1-E156)*(1-F156)</f>
        <v>217.717200000012</v>
      </c>
      <c r="R156" s="10" t="n">
        <f aca="false">J156*(E156-K156)*(1-F156)</f>
        <v>1444.27539816</v>
      </c>
      <c r="S156" s="10" t="n">
        <f aca="false">M156*(F156-L156)</f>
        <v>743.25886937641</v>
      </c>
      <c r="T156" s="10" t="n">
        <f aca="false">ROUND(P156-(Q156+R156+S156),2)</f>
        <v>-0</v>
      </c>
    </row>
    <row r="157" customFormat="false" ht="15" hidden="false" customHeight="true" outlineLevel="0" collapsed="false">
      <c r="A157" s="7" t="s">
        <v>54</v>
      </c>
      <c r="B157" s="7" t="s">
        <v>72</v>
      </c>
      <c r="C157" s="7" t="s">
        <v>43</v>
      </c>
      <c r="D157" s="8" t="n">
        <v>284577.12</v>
      </c>
      <c r="E157" s="9" t="n">
        <v>0.1</v>
      </c>
      <c r="F157" s="9" t="n">
        <v>0.62</v>
      </c>
      <c r="G157" s="10" t="n">
        <f aca="false">D157*(1-E157)</f>
        <v>256119.408</v>
      </c>
      <c r="H157" s="10" t="n">
        <f aca="false">G157*F157</f>
        <v>158794.03296</v>
      </c>
      <c r="I157" s="10" t="n">
        <f aca="false">G157-H157</f>
        <v>97325.37504</v>
      </c>
      <c r="J157" s="8" t="n">
        <v>293479.56</v>
      </c>
      <c r="K157" s="9" t="n">
        <v>0.1013</v>
      </c>
      <c r="L157" s="9" t="n">
        <v>0.6224</v>
      </c>
      <c r="M157" s="10" t="n">
        <f aca="false">J157*(1-K157)</f>
        <v>263750.080572</v>
      </c>
      <c r="N157" s="10" t="n">
        <f aca="false">M157*L157</f>
        <v>164158.050148013</v>
      </c>
      <c r="O157" s="10" t="n">
        <f aca="false">M157-N157</f>
        <v>99592.0304239872</v>
      </c>
      <c r="P157" s="10" t="n">
        <f aca="false">O157-I157</f>
        <v>2266.65538398721</v>
      </c>
      <c r="Q157" s="10" t="n">
        <f aca="false">(J157-D157)*(1-E157)*(1-F157)</f>
        <v>3044.63448</v>
      </c>
      <c r="R157" s="10" t="n">
        <f aca="false">J157*(E157-K157)*(1-F157)</f>
        <v>-144.97890264</v>
      </c>
      <c r="S157" s="10" t="n">
        <f aca="false">M157*(F157-L157)</f>
        <v>-633.000193372789</v>
      </c>
      <c r="T157" s="10" t="n">
        <f aca="false">ROUND(P157-(Q157+R157+S157),2)</f>
        <v>0</v>
      </c>
    </row>
    <row r="158" customFormat="false" ht="15" hidden="false" customHeight="true" outlineLevel="0" collapsed="false">
      <c r="A158" s="7" t="s">
        <v>55</v>
      </c>
      <c r="B158" s="7" t="s">
        <v>72</v>
      </c>
      <c r="C158" s="7" t="s">
        <v>43</v>
      </c>
      <c r="D158" s="8" t="n">
        <v>211477.57</v>
      </c>
      <c r="E158" s="9" t="n">
        <v>0.1</v>
      </c>
      <c r="F158" s="9" t="n">
        <v>0.62</v>
      </c>
      <c r="G158" s="10" t="n">
        <f aca="false">D158*(1-E158)</f>
        <v>190329.813</v>
      </c>
      <c r="H158" s="10" t="n">
        <f aca="false">G158*F158</f>
        <v>118004.48406</v>
      </c>
      <c r="I158" s="10" t="n">
        <f aca="false">G158-H158</f>
        <v>72325.32894</v>
      </c>
      <c r="J158" s="8" t="n">
        <v>210540.03</v>
      </c>
      <c r="K158" s="9" t="n">
        <v>0.0885</v>
      </c>
      <c r="L158" s="9" t="n">
        <v>0.6071</v>
      </c>
      <c r="M158" s="10" t="n">
        <f aca="false">J158*(1-K158)</f>
        <v>191907.237345</v>
      </c>
      <c r="N158" s="10" t="n">
        <f aca="false">M158*L158</f>
        <v>116506.88379215</v>
      </c>
      <c r="O158" s="10" t="n">
        <f aca="false">M158-N158</f>
        <v>75400.3535528505</v>
      </c>
      <c r="P158" s="10" t="n">
        <f aca="false">O158-I158</f>
        <v>3075.0246128505</v>
      </c>
      <c r="Q158" s="10" t="n">
        <f aca="false">(J158-D158)*(1-E158)*(1-F158)</f>
        <v>-320.638680000003</v>
      </c>
      <c r="R158" s="10" t="n">
        <f aca="false">J158*(E158-K158)*(1-F158)</f>
        <v>920.059931100001</v>
      </c>
      <c r="S158" s="10" t="n">
        <f aca="false">M158*(F158-L158)</f>
        <v>2475.6033617505</v>
      </c>
      <c r="T158" s="10" t="n">
        <f aca="false">ROUND(P158-(Q158+R158+S158),2)</f>
        <v>0</v>
      </c>
    </row>
    <row r="159" customFormat="false" ht="15" hidden="false" customHeight="true" outlineLevel="0" collapsed="false">
      <c r="A159" s="7" t="s">
        <v>56</v>
      </c>
      <c r="B159" s="7" t="s">
        <v>72</v>
      </c>
      <c r="C159" s="7" t="s">
        <v>43</v>
      </c>
      <c r="D159" s="8" t="n">
        <v>208287.4</v>
      </c>
      <c r="E159" s="9" t="n">
        <v>0.1</v>
      </c>
      <c r="F159" s="9" t="n">
        <v>0.62</v>
      </c>
      <c r="G159" s="10" t="n">
        <f aca="false">D159*(1-E159)</f>
        <v>187458.66</v>
      </c>
      <c r="H159" s="10" t="n">
        <f aca="false">G159*F159</f>
        <v>116224.3692</v>
      </c>
      <c r="I159" s="10" t="n">
        <f aca="false">G159-H159</f>
        <v>71234.2908</v>
      </c>
      <c r="J159" s="8" t="n">
        <v>208508.77</v>
      </c>
      <c r="K159" s="9" t="n">
        <v>0.0967</v>
      </c>
      <c r="L159" s="9" t="n">
        <v>0.6263</v>
      </c>
      <c r="M159" s="10" t="n">
        <f aca="false">J159*(1-K159)</f>
        <v>188345.971941</v>
      </c>
      <c r="N159" s="10" t="n">
        <f aca="false">M159*L159</f>
        <v>117961.082226648</v>
      </c>
      <c r="O159" s="10" t="n">
        <f aca="false">M159-N159</f>
        <v>70384.8897143517</v>
      </c>
      <c r="P159" s="10" t="n">
        <f aca="false">O159-I159</f>
        <v>-849.401085648293</v>
      </c>
      <c r="Q159" s="10" t="n">
        <f aca="false">(J159-D159)*(1-E159)*(1-F159)</f>
        <v>75.7085399999984</v>
      </c>
      <c r="R159" s="10" t="n">
        <f aca="false">J159*(E159-K159)*(1-F159)</f>
        <v>261.469997580001</v>
      </c>
      <c r="S159" s="10" t="n">
        <f aca="false">M159*(F159-L159)</f>
        <v>-1186.57962322829</v>
      </c>
      <c r="T159" s="10" t="n">
        <f aca="false">ROUND(P159-(Q159+R159+S159),2)</f>
        <v>0</v>
      </c>
    </row>
    <row r="160" customFormat="false" ht="15" hidden="false" customHeight="true" outlineLevel="0" collapsed="false">
      <c r="A160" s="7" t="s">
        <v>57</v>
      </c>
      <c r="B160" s="7" t="s">
        <v>72</v>
      </c>
      <c r="C160" s="7" t="s">
        <v>43</v>
      </c>
      <c r="D160" s="8" t="n">
        <v>226485.1</v>
      </c>
      <c r="E160" s="9" t="n">
        <v>0.1</v>
      </c>
      <c r="F160" s="9" t="n">
        <v>0.62</v>
      </c>
      <c r="G160" s="10" t="n">
        <f aca="false">D160*(1-E160)</f>
        <v>203836.59</v>
      </c>
      <c r="H160" s="10" t="n">
        <f aca="false">G160*F160</f>
        <v>126378.6858</v>
      </c>
      <c r="I160" s="10" t="n">
        <f aca="false">G160-H160</f>
        <v>77457.9042</v>
      </c>
      <c r="J160" s="8" t="n">
        <v>228388.27</v>
      </c>
      <c r="K160" s="9" t="n">
        <v>0.1128</v>
      </c>
      <c r="L160" s="9" t="n">
        <v>0.6478</v>
      </c>
      <c r="M160" s="10" t="n">
        <f aca="false">J160*(1-K160)</f>
        <v>202626.073144</v>
      </c>
      <c r="N160" s="10" t="n">
        <f aca="false">M160*L160</f>
        <v>131261.170182683</v>
      </c>
      <c r="O160" s="10" t="n">
        <f aca="false">M160-N160</f>
        <v>71364.9029613168</v>
      </c>
      <c r="P160" s="10" t="n">
        <f aca="false">O160-I160</f>
        <v>-6093.00123868322</v>
      </c>
      <c r="Q160" s="10" t="n">
        <f aca="false">(J160-D160)*(1-E160)*(1-F160)</f>
        <v>650.884139999994</v>
      </c>
      <c r="R160" s="10" t="n">
        <f aca="false">J160*(E160-K160)*(1-F160)</f>
        <v>-1110.88054528</v>
      </c>
      <c r="S160" s="10" t="n">
        <f aca="false">M160*(F160-L160)</f>
        <v>-5633.00483340321</v>
      </c>
      <c r="T160" s="10" t="n">
        <f aca="false">ROUND(P160-(Q160+R160+S160),2)</f>
        <v>0</v>
      </c>
    </row>
    <row r="161" customFormat="false" ht="15" hidden="false" customHeight="true" outlineLevel="0" collapsed="false">
      <c r="A161" s="7" t="s">
        <v>58</v>
      </c>
      <c r="B161" s="7" t="s">
        <v>72</v>
      </c>
      <c r="C161" s="7" t="s">
        <v>43</v>
      </c>
      <c r="D161" s="8" t="n">
        <v>235318.11</v>
      </c>
      <c r="E161" s="9" t="n">
        <v>0.1</v>
      </c>
      <c r="F161" s="9" t="n">
        <v>0.62</v>
      </c>
      <c r="G161" s="10" t="n">
        <f aca="false">D161*(1-E161)</f>
        <v>211786.299</v>
      </c>
      <c r="H161" s="10" t="n">
        <f aca="false">G161*F161</f>
        <v>131307.50538</v>
      </c>
      <c r="I161" s="10" t="n">
        <f aca="false">G161-H161</f>
        <v>80478.79362</v>
      </c>
      <c r="J161" s="8" t="n">
        <v>245936.3</v>
      </c>
      <c r="K161" s="9" t="n">
        <v>0.119</v>
      </c>
      <c r="L161" s="9" t="n">
        <v>0.6283</v>
      </c>
      <c r="M161" s="10" t="n">
        <f aca="false">J161*(1-K161)</f>
        <v>216669.8803</v>
      </c>
      <c r="N161" s="10" t="n">
        <f aca="false">M161*L161</f>
        <v>136133.68579249</v>
      </c>
      <c r="O161" s="10" t="n">
        <f aca="false">M161-N161</f>
        <v>80536.19450751</v>
      </c>
      <c r="P161" s="10" t="n">
        <f aca="false">O161-I161</f>
        <v>57.4008875099826</v>
      </c>
      <c r="Q161" s="10" t="n">
        <f aca="false">(J161-D161)*(1-E161)*(1-F161)</f>
        <v>3631.42098</v>
      </c>
      <c r="R161" s="10" t="n">
        <f aca="false">J161*(E161-K161)*(1-F161)</f>
        <v>-1775.660086</v>
      </c>
      <c r="S161" s="10" t="n">
        <f aca="false">M161*(F161-L161)</f>
        <v>-1798.36000648999</v>
      </c>
      <c r="T161" s="10" t="n">
        <f aca="false">ROUND(P161-(Q161+R161+S161),2)</f>
        <v>-0</v>
      </c>
    </row>
    <row r="162" customFormat="false" ht="15" hidden="false" customHeight="true" outlineLevel="0" collapsed="false">
      <c r="A162" s="7" t="s">
        <v>59</v>
      </c>
      <c r="B162" s="7" t="s">
        <v>72</v>
      </c>
      <c r="C162" s="7" t="s">
        <v>43</v>
      </c>
      <c r="D162" s="8" t="n">
        <v>241835.67</v>
      </c>
      <c r="E162" s="9" t="n">
        <v>0.1</v>
      </c>
      <c r="F162" s="9" t="n">
        <v>0.62</v>
      </c>
      <c r="G162" s="10" t="n">
        <f aca="false">D162*(1-E162)</f>
        <v>217652.103</v>
      </c>
      <c r="H162" s="10" t="n">
        <f aca="false">G162*F162</f>
        <v>134944.30386</v>
      </c>
      <c r="I162" s="10" t="n">
        <f aca="false">G162-H162</f>
        <v>82707.79914</v>
      </c>
      <c r="J162" s="8" t="n">
        <v>214943.04</v>
      </c>
      <c r="K162" s="9" t="n">
        <v>0.089</v>
      </c>
      <c r="L162" s="9" t="n">
        <v>0.6348</v>
      </c>
      <c r="M162" s="10" t="n">
        <f aca="false">J162*(1-K162)</f>
        <v>195813.10944</v>
      </c>
      <c r="N162" s="10" t="n">
        <f aca="false">M162*L162</f>
        <v>124302.161872512</v>
      </c>
      <c r="O162" s="10" t="n">
        <f aca="false">M162-N162</f>
        <v>71510.947567488</v>
      </c>
      <c r="P162" s="10" t="n">
        <f aca="false">O162-I162</f>
        <v>-11196.851572512</v>
      </c>
      <c r="Q162" s="10" t="n">
        <f aca="false">(J162-D162)*(1-E162)*(1-F162)</f>
        <v>-9197.27946</v>
      </c>
      <c r="R162" s="10" t="n">
        <f aca="false">J162*(E162-K162)*(1-F162)</f>
        <v>898.461907200001</v>
      </c>
      <c r="S162" s="10" t="n">
        <f aca="false">M162*(F162-L162)</f>
        <v>-2898.03401971201</v>
      </c>
      <c r="T162" s="10" t="n">
        <f aca="false">ROUND(P162-(Q162+R162+S162),2)</f>
        <v>0</v>
      </c>
    </row>
    <row r="163" customFormat="false" ht="15" hidden="false" customHeight="true" outlineLevel="0" collapsed="false">
      <c r="A163" s="7" t="s">
        <v>60</v>
      </c>
      <c r="B163" s="7" t="s">
        <v>72</v>
      </c>
      <c r="C163" s="7" t="s">
        <v>43</v>
      </c>
      <c r="D163" s="8" t="n">
        <v>248421.83</v>
      </c>
      <c r="E163" s="9" t="n">
        <v>0.1</v>
      </c>
      <c r="F163" s="9" t="n">
        <v>0.62</v>
      </c>
      <c r="G163" s="10" t="n">
        <f aca="false">D163*(1-E163)</f>
        <v>223579.647</v>
      </c>
      <c r="H163" s="10" t="n">
        <f aca="false">G163*F163</f>
        <v>138619.38114</v>
      </c>
      <c r="I163" s="10" t="n">
        <f aca="false">G163-H163</f>
        <v>84960.26586</v>
      </c>
      <c r="J163" s="8" t="n">
        <v>250034.77</v>
      </c>
      <c r="K163" s="9" t="n">
        <v>0.0942</v>
      </c>
      <c r="L163" s="9" t="n">
        <v>0.6117</v>
      </c>
      <c r="M163" s="10" t="n">
        <f aca="false">J163*(1-K163)</f>
        <v>226481.494666</v>
      </c>
      <c r="N163" s="10" t="n">
        <f aca="false">M163*L163</f>
        <v>138538.730287192</v>
      </c>
      <c r="O163" s="10" t="n">
        <f aca="false">M163-N163</f>
        <v>87942.7643788078</v>
      </c>
      <c r="P163" s="10" t="n">
        <f aca="false">O163-I163</f>
        <v>2982.49851880778</v>
      </c>
      <c r="Q163" s="10" t="n">
        <f aca="false">(J163-D163)*(1-E163)*(1-F163)</f>
        <v>551.625480000001</v>
      </c>
      <c r="R163" s="10" t="n">
        <f aca="false">J163*(E163-K163)*(1-F163)</f>
        <v>551.07663308</v>
      </c>
      <c r="S163" s="10" t="n">
        <f aca="false">M163*(F163-L163)</f>
        <v>1879.79640572779</v>
      </c>
      <c r="T163" s="10" t="n">
        <f aca="false">ROUND(P163-(Q163+R163+S163),2)</f>
        <v>0</v>
      </c>
    </row>
    <row r="164" customFormat="false" ht="15" hidden="false" customHeight="true" outlineLevel="0" collapsed="false">
      <c r="A164" s="7" t="s">
        <v>61</v>
      </c>
      <c r="B164" s="7" t="s">
        <v>72</v>
      </c>
      <c r="C164" s="7" t="s">
        <v>43</v>
      </c>
      <c r="D164" s="8" t="n">
        <v>245265.96</v>
      </c>
      <c r="E164" s="9" t="n">
        <v>0.1</v>
      </c>
      <c r="F164" s="9" t="n">
        <v>0.62</v>
      </c>
      <c r="G164" s="10" t="n">
        <f aca="false">D164*(1-E164)</f>
        <v>220739.364</v>
      </c>
      <c r="H164" s="10" t="n">
        <f aca="false">G164*F164</f>
        <v>136858.40568</v>
      </c>
      <c r="I164" s="10" t="n">
        <f aca="false">G164-H164</f>
        <v>83880.95832</v>
      </c>
      <c r="J164" s="8" t="n">
        <v>245337.31</v>
      </c>
      <c r="K164" s="9" t="n">
        <v>0.0976</v>
      </c>
      <c r="L164" s="9" t="n">
        <v>0.6241</v>
      </c>
      <c r="M164" s="10" t="n">
        <f aca="false">J164*(1-K164)</f>
        <v>221392.388544</v>
      </c>
      <c r="N164" s="10" t="n">
        <f aca="false">M164*L164</f>
        <v>138170.98969031</v>
      </c>
      <c r="O164" s="10" t="n">
        <f aca="false">M164-N164</f>
        <v>83221.3988536896</v>
      </c>
      <c r="P164" s="10" t="n">
        <f aca="false">O164-I164</f>
        <v>-659.559466310398</v>
      </c>
      <c r="Q164" s="10" t="n">
        <f aca="false">(J164-D164)*(1-E164)*(1-F164)</f>
        <v>24.401700000002</v>
      </c>
      <c r="R164" s="10" t="n">
        <f aca="false">J164*(E164-K164)*(1-F164)</f>
        <v>223.74762672</v>
      </c>
      <c r="S164" s="10" t="n">
        <f aca="false">M164*(F164-L164)</f>
        <v>-907.708793030398</v>
      </c>
      <c r="T164" s="10" t="n">
        <f aca="false">ROUND(P164-(Q164+R164+S164),2)</f>
        <v>0</v>
      </c>
    </row>
    <row r="165" customFormat="false" ht="15" hidden="false" customHeight="true" outlineLevel="0" collapsed="false">
      <c r="A165" s="7" t="s">
        <v>62</v>
      </c>
      <c r="B165" s="7" t="s">
        <v>72</v>
      </c>
      <c r="C165" s="7" t="s">
        <v>43</v>
      </c>
      <c r="D165" s="8" t="n">
        <v>254390.54</v>
      </c>
      <c r="E165" s="9" t="n">
        <v>0.1</v>
      </c>
      <c r="F165" s="9" t="n">
        <v>0.62</v>
      </c>
      <c r="G165" s="10" t="n">
        <f aca="false">D165*(1-E165)</f>
        <v>228951.486</v>
      </c>
      <c r="H165" s="10" t="n">
        <f aca="false">G165*F165</f>
        <v>141949.92132</v>
      </c>
      <c r="I165" s="10" t="n">
        <f aca="false">G165-H165</f>
        <v>87001.56468</v>
      </c>
      <c r="J165" s="8" t="n">
        <v>282481.36</v>
      </c>
      <c r="K165" s="9" t="n">
        <v>0.0998</v>
      </c>
      <c r="L165" s="9" t="n">
        <v>0.621</v>
      </c>
      <c r="M165" s="10" t="n">
        <f aca="false">J165*(1-K165)</f>
        <v>254289.720272</v>
      </c>
      <c r="N165" s="10" t="n">
        <f aca="false">M165*L165</f>
        <v>157913.916288912</v>
      </c>
      <c r="O165" s="10" t="n">
        <f aca="false">M165-N165</f>
        <v>96375.803983088</v>
      </c>
      <c r="P165" s="10" t="n">
        <f aca="false">O165-I165</f>
        <v>9374.23930308799</v>
      </c>
      <c r="Q165" s="10" t="n">
        <f aca="false">(J165-D165)*(1-E165)*(1-F165)</f>
        <v>9607.06043999999</v>
      </c>
      <c r="R165" s="10" t="n">
        <f aca="false">J165*(E165-K165)*(1-F165)</f>
        <v>21.4685833600006</v>
      </c>
      <c r="S165" s="10" t="n">
        <f aca="false">M165*(F165-L165)</f>
        <v>-254.289720272</v>
      </c>
      <c r="T165" s="10" t="n">
        <f aca="false">ROUND(P165-(Q165+R165+S165),2)</f>
        <v>0</v>
      </c>
    </row>
    <row r="166" customFormat="false" ht="15" hidden="false" customHeight="true" outlineLevel="0" collapsed="false">
      <c r="A166" s="7" t="s">
        <v>63</v>
      </c>
      <c r="B166" s="7" t="s">
        <v>72</v>
      </c>
      <c r="C166" s="7" t="s">
        <v>43</v>
      </c>
      <c r="D166" s="8" t="n">
        <v>261131.07</v>
      </c>
      <c r="E166" s="9" t="n">
        <v>0.1</v>
      </c>
      <c r="F166" s="9" t="n">
        <v>0.62</v>
      </c>
      <c r="G166" s="10" t="n">
        <f aca="false">D166*(1-E166)</f>
        <v>235017.963</v>
      </c>
      <c r="H166" s="10" t="n">
        <f aca="false">G166*F166</f>
        <v>145711.13706</v>
      </c>
      <c r="I166" s="10" t="n">
        <f aca="false">G166-H166</f>
        <v>89306.82594</v>
      </c>
      <c r="J166" s="8" t="n">
        <v>251440.07</v>
      </c>
      <c r="K166" s="9" t="n">
        <v>0.1051</v>
      </c>
      <c r="L166" s="9" t="n">
        <v>0.6293</v>
      </c>
      <c r="M166" s="10" t="n">
        <f aca="false">J166*(1-K166)</f>
        <v>225013.718643</v>
      </c>
      <c r="N166" s="10" t="n">
        <f aca="false">M166*L166</f>
        <v>141601.13314204</v>
      </c>
      <c r="O166" s="10" t="n">
        <f aca="false">M166-N166</f>
        <v>83412.5855009601</v>
      </c>
      <c r="P166" s="10" t="n">
        <f aca="false">O166-I166</f>
        <v>-5894.24043903992</v>
      </c>
      <c r="Q166" s="10" t="n">
        <f aca="false">(J166-D166)*(1-E166)*(1-F166)</f>
        <v>-3314.322</v>
      </c>
      <c r="R166" s="10" t="n">
        <f aca="false">J166*(E166-K166)*(1-F166)</f>
        <v>-487.290855659999</v>
      </c>
      <c r="S166" s="10" t="n">
        <f aca="false">M166*(F166-L166)</f>
        <v>-2092.62758337989</v>
      </c>
      <c r="T166" s="10" t="n">
        <f aca="false">ROUND(P166-(Q166+R166+S166),2)</f>
        <v>-0</v>
      </c>
    </row>
    <row r="167" customFormat="false" ht="15" hidden="false" customHeight="true" outlineLevel="0" collapsed="false">
      <c r="A167" s="7" t="s">
        <v>64</v>
      </c>
      <c r="B167" s="7" t="s">
        <v>72</v>
      </c>
      <c r="C167" s="7" t="s">
        <v>43</v>
      </c>
      <c r="D167" s="8" t="n">
        <v>275452.54</v>
      </c>
      <c r="E167" s="9" t="n">
        <v>0.1</v>
      </c>
      <c r="F167" s="9" t="n">
        <v>0.62</v>
      </c>
      <c r="G167" s="10" t="n">
        <f aca="false">D167*(1-E167)</f>
        <v>247907.286</v>
      </c>
      <c r="H167" s="10" t="n">
        <f aca="false">G167*F167</f>
        <v>153702.51732</v>
      </c>
      <c r="I167" s="10" t="n">
        <f aca="false">G167-H167</f>
        <v>94204.76868</v>
      </c>
      <c r="J167" s="8" t="n">
        <v>292675.94</v>
      </c>
      <c r="K167" s="9" t="n">
        <v>0.0926</v>
      </c>
      <c r="L167" s="9" t="n">
        <v>0.6254</v>
      </c>
      <c r="M167" s="10" t="n">
        <f aca="false">J167*(1-K167)</f>
        <v>265574.147956</v>
      </c>
      <c r="N167" s="10" t="n">
        <f aca="false">M167*L167</f>
        <v>166090.072131682</v>
      </c>
      <c r="O167" s="10" t="n">
        <f aca="false">M167-N167</f>
        <v>99484.0758243176</v>
      </c>
      <c r="P167" s="10" t="n">
        <f aca="false">O167-I167</f>
        <v>5279.3071443176</v>
      </c>
      <c r="Q167" s="10" t="n">
        <f aca="false">(J167-D167)*(1-E167)*(1-F167)</f>
        <v>5890.40280000001</v>
      </c>
      <c r="R167" s="10" t="n">
        <f aca="false">J167*(E167-K167)*(1-F167)</f>
        <v>823.00474328</v>
      </c>
      <c r="S167" s="10" t="n">
        <f aca="false">M167*(F167-L167)</f>
        <v>-1434.10039896239</v>
      </c>
      <c r="T167" s="10" t="n">
        <f aca="false">ROUND(P167-(Q167+R167+S167),2)</f>
        <v>0</v>
      </c>
    </row>
    <row r="168" customFormat="false" ht="15" hidden="false" customHeight="true" outlineLevel="0" collapsed="false">
      <c r="A168" s="7" t="s">
        <v>65</v>
      </c>
      <c r="B168" s="7" t="s">
        <v>72</v>
      </c>
      <c r="C168" s="7" t="s">
        <v>43</v>
      </c>
      <c r="D168" s="8" t="n">
        <v>327764.51</v>
      </c>
      <c r="E168" s="9" t="n">
        <v>0.1</v>
      </c>
      <c r="F168" s="9" t="n">
        <v>0.62</v>
      </c>
      <c r="G168" s="10" t="n">
        <f aca="false">D168*(1-E168)</f>
        <v>294988.059</v>
      </c>
      <c r="H168" s="10" t="n">
        <f aca="false">G168*F168</f>
        <v>182892.59658</v>
      </c>
      <c r="I168" s="10" t="n">
        <f aca="false">G168-H168</f>
        <v>112095.46242</v>
      </c>
      <c r="J168" s="8" t="n">
        <v>343314.19</v>
      </c>
      <c r="K168" s="9" t="n">
        <v>0.09</v>
      </c>
      <c r="L168" s="9" t="n">
        <v>0.6192</v>
      </c>
      <c r="M168" s="10" t="n">
        <f aca="false">J168*(1-K168)</f>
        <v>312415.9129</v>
      </c>
      <c r="N168" s="10" t="n">
        <f aca="false">M168*L168</f>
        <v>193447.93326768</v>
      </c>
      <c r="O168" s="10" t="n">
        <f aca="false">M168-N168</f>
        <v>118967.97963232</v>
      </c>
      <c r="P168" s="10" t="n">
        <f aca="false">O168-I168</f>
        <v>6872.51721232</v>
      </c>
      <c r="Q168" s="10" t="n">
        <f aca="false">(J168-D168)*(1-E168)*(1-F168)</f>
        <v>5317.99056</v>
      </c>
      <c r="R168" s="10" t="n">
        <f aca="false">J168*(E168-K168)*(1-F168)</f>
        <v>1304.593922</v>
      </c>
      <c r="S168" s="10" t="n">
        <f aca="false">M168*(F168-L168)</f>
        <v>249.932730320007</v>
      </c>
      <c r="T168" s="10" t="n">
        <f aca="false">ROUND(P168-(Q168+R168+S168),2)</f>
        <v>0</v>
      </c>
    </row>
    <row r="169" customFormat="false" ht="15" hidden="false" customHeight="true" outlineLevel="0" collapsed="false">
      <c r="A169" s="7" t="s">
        <v>66</v>
      </c>
      <c r="B169" s="7" t="s">
        <v>72</v>
      </c>
      <c r="C169" s="7" t="s">
        <v>43</v>
      </c>
      <c r="D169" s="8" t="n">
        <v>309686.86</v>
      </c>
      <c r="E169" s="9" t="n">
        <v>0.1</v>
      </c>
      <c r="F169" s="9" t="n">
        <v>0.62</v>
      </c>
      <c r="G169" s="10" t="n">
        <f aca="false">D169*(1-E169)</f>
        <v>278718.174</v>
      </c>
      <c r="H169" s="10" t="n">
        <f aca="false">G169*F169</f>
        <v>172805.26788</v>
      </c>
      <c r="I169" s="10" t="n">
        <f aca="false">G169-H169</f>
        <v>105912.90612</v>
      </c>
      <c r="J169" s="8" t="n">
        <v>299074.77</v>
      </c>
      <c r="K169" s="9" t="n">
        <v>0.0917</v>
      </c>
      <c r="L169" s="9" t="n">
        <v>0.6121</v>
      </c>
      <c r="M169" s="10" t="n">
        <f aca="false">J169*(1-K169)</f>
        <v>271649.613591</v>
      </c>
      <c r="N169" s="10" t="n">
        <f aca="false">M169*L169</f>
        <v>166276.728479051</v>
      </c>
      <c r="O169" s="10" t="n">
        <f aca="false">M169-N169</f>
        <v>105372.885111949</v>
      </c>
      <c r="P169" s="10" t="n">
        <f aca="false">O169-I169</f>
        <v>-540.021008051088</v>
      </c>
      <c r="Q169" s="10" t="n">
        <f aca="false">(J169-D169)*(1-E169)*(1-F169)</f>
        <v>-3629.33477999999</v>
      </c>
      <c r="R169" s="10" t="n">
        <f aca="false">J169*(E169-K169)*(1-F169)</f>
        <v>943.28182458</v>
      </c>
      <c r="S169" s="10" t="n">
        <f aca="false">M169*(F169-L169)</f>
        <v>2146.03194736891</v>
      </c>
      <c r="T169" s="10" t="n">
        <f aca="false">ROUND(P169-(Q169+R169+S169),2)</f>
        <v>-0</v>
      </c>
    </row>
    <row r="170" customFormat="false" ht="15" hidden="false" customHeight="true" outlineLevel="0" collapsed="false">
      <c r="A170" s="7" t="s">
        <v>41</v>
      </c>
      <c r="B170" s="7" t="s">
        <v>72</v>
      </c>
      <c r="C170" s="7" t="s">
        <v>67</v>
      </c>
      <c r="D170" s="8" t="n">
        <v>119568.45</v>
      </c>
      <c r="E170" s="9" t="n">
        <v>0.12</v>
      </c>
      <c r="F170" s="9" t="n">
        <v>0.58</v>
      </c>
      <c r="G170" s="10" t="n">
        <f aca="false">D170*(1-E170)</f>
        <v>105220.236</v>
      </c>
      <c r="H170" s="10" t="n">
        <f aca="false">G170*F170</f>
        <v>61027.73688</v>
      </c>
      <c r="I170" s="10" t="n">
        <f aca="false">G170-H170</f>
        <v>44192.49912</v>
      </c>
      <c r="J170" s="8" t="n">
        <v>123200.06</v>
      </c>
      <c r="K170" s="9" t="n">
        <v>0.1242</v>
      </c>
      <c r="L170" s="9" t="n">
        <v>0.5796</v>
      </c>
      <c r="M170" s="10" t="n">
        <f aca="false">J170*(1-K170)</f>
        <v>107898.612548</v>
      </c>
      <c r="N170" s="10" t="n">
        <f aca="false">M170*L170</f>
        <v>62538.0358328208</v>
      </c>
      <c r="O170" s="10" t="n">
        <f aca="false">M170-N170</f>
        <v>45360.5767151792</v>
      </c>
      <c r="P170" s="10" t="n">
        <f aca="false">O170-I170</f>
        <v>1168.07759517919</v>
      </c>
      <c r="Q170" s="10" t="n">
        <f aca="false">(J170-D170)*(1-E170)*(1-F170)</f>
        <v>1342.243056</v>
      </c>
      <c r="R170" s="10" t="n">
        <f aca="false">J170*(E170-K170)*(1-F170)</f>
        <v>-217.324905840001</v>
      </c>
      <c r="S170" s="10" t="n">
        <f aca="false">M170*(F170-L170)</f>
        <v>43.1594450191952</v>
      </c>
      <c r="T170" s="10" t="n">
        <f aca="false">ROUND(P170-(Q170+R170+S170),2)</f>
        <v>0</v>
      </c>
    </row>
    <row r="171" customFormat="false" ht="15" hidden="false" customHeight="true" outlineLevel="0" collapsed="false">
      <c r="A171" s="7" t="s">
        <v>44</v>
      </c>
      <c r="B171" s="7" t="s">
        <v>72</v>
      </c>
      <c r="C171" s="7" t="s">
        <v>67</v>
      </c>
      <c r="D171" s="8" t="n">
        <v>117846.67</v>
      </c>
      <c r="E171" s="9" t="n">
        <v>0.12</v>
      </c>
      <c r="F171" s="9" t="n">
        <v>0.58</v>
      </c>
      <c r="G171" s="10" t="n">
        <f aca="false">D171*(1-E171)</f>
        <v>103705.0696</v>
      </c>
      <c r="H171" s="10" t="n">
        <f aca="false">G171*F171</f>
        <v>60148.940368</v>
      </c>
      <c r="I171" s="10" t="n">
        <f aca="false">G171-H171</f>
        <v>43556.129232</v>
      </c>
      <c r="J171" s="8" t="n">
        <v>123135.31</v>
      </c>
      <c r="K171" s="9" t="n">
        <v>0.1309</v>
      </c>
      <c r="L171" s="9" t="n">
        <v>0.5879</v>
      </c>
      <c r="M171" s="10" t="n">
        <f aca="false">J171*(1-K171)</f>
        <v>107016.897921</v>
      </c>
      <c r="N171" s="10" t="n">
        <f aca="false">M171*L171</f>
        <v>62915.2342877559</v>
      </c>
      <c r="O171" s="10" t="n">
        <f aca="false">M171-N171</f>
        <v>44101.6636332441</v>
      </c>
      <c r="P171" s="10" t="n">
        <f aca="false">O171-I171</f>
        <v>545.534401244091</v>
      </c>
      <c r="Q171" s="10" t="n">
        <f aca="false">(J171-D171)*(1-E171)*(1-F171)</f>
        <v>1954.681344</v>
      </c>
      <c r="R171" s="10" t="n">
        <f aca="false">J171*(E171-K171)*(1-F171)</f>
        <v>-563.71344918</v>
      </c>
      <c r="S171" s="10" t="n">
        <f aca="false">M171*(F171-L171)</f>
        <v>-845.433493575902</v>
      </c>
      <c r="T171" s="10" t="n">
        <f aca="false">ROUND(P171-(Q171+R171+S171),2)</f>
        <v>-0</v>
      </c>
    </row>
    <row r="172" customFormat="false" ht="15" hidden="false" customHeight="true" outlineLevel="0" collapsed="false">
      <c r="A172" s="7" t="s">
        <v>45</v>
      </c>
      <c r="B172" s="7" t="s">
        <v>72</v>
      </c>
      <c r="C172" s="7" t="s">
        <v>67</v>
      </c>
      <c r="D172" s="8" t="n">
        <v>128230.52</v>
      </c>
      <c r="E172" s="9" t="n">
        <v>0.12</v>
      </c>
      <c r="F172" s="9" t="n">
        <v>0.58</v>
      </c>
      <c r="G172" s="10" t="n">
        <f aca="false">D172*(1-E172)</f>
        <v>112842.8576</v>
      </c>
      <c r="H172" s="10" t="n">
        <f aca="false">G172*F172</f>
        <v>65448.857408</v>
      </c>
      <c r="I172" s="10" t="n">
        <f aca="false">G172-H172</f>
        <v>47394.000192</v>
      </c>
      <c r="J172" s="8" t="n">
        <v>136564.76</v>
      </c>
      <c r="K172" s="9" t="n">
        <v>0.1153</v>
      </c>
      <c r="L172" s="9" t="n">
        <v>0.5736</v>
      </c>
      <c r="M172" s="10" t="n">
        <f aca="false">J172*(1-K172)</f>
        <v>120818.843172</v>
      </c>
      <c r="N172" s="10" t="n">
        <f aca="false">M172*L172</f>
        <v>69301.6884434592</v>
      </c>
      <c r="O172" s="10" t="n">
        <f aca="false">M172-N172</f>
        <v>51517.1547285408</v>
      </c>
      <c r="P172" s="10" t="n">
        <f aca="false">O172-I172</f>
        <v>4123.1545365408</v>
      </c>
      <c r="Q172" s="10" t="n">
        <f aca="false">(J172-D172)*(1-E172)*(1-F172)</f>
        <v>3080.335104</v>
      </c>
      <c r="R172" s="10" t="n">
        <f aca="false">J172*(E172-K172)*(1-F172)</f>
        <v>269.57883624</v>
      </c>
      <c r="S172" s="10" t="n">
        <f aca="false">M172*(F172-L172)</f>
        <v>773.240596300795</v>
      </c>
      <c r="T172" s="10" t="n">
        <f aca="false">ROUND(P172-(Q172+R172+S172),2)</f>
        <v>0</v>
      </c>
    </row>
    <row r="173" customFormat="false" ht="15" hidden="false" customHeight="true" outlineLevel="0" collapsed="false">
      <c r="A173" s="7" t="s">
        <v>46</v>
      </c>
      <c r="B173" s="7" t="s">
        <v>72</v>
      </c>
      <c r="C173" s="7" t="s">
        <v>67</v>
      </c>
      <c r="D173" s="8" t="n">
        <v>133321.48</v>
      </c>
      <c r="E173" s="9" t="n">
        <v>0.12</v>
      </c>
      <c r="F173" s="9" t="n">
        <v>0.58</v>
      </c>
      <c r="G173" s="10" t="n">
        <f aca="false">D173*(1-E173)</f>
        <v>117322.9024</v>
      </c>
      <c r="H173" s="10" t="n">
        <f aca="false">G173*F173</f>
        <v>68047.283392</v>
      </c>
      <c r="I173" s="10" t="n">
        <f aca="false">G173-H173</f>
        <v>49275.619008</v>
      </c>
      <c r="J173" s="8" t="n">
        <v>139506.34</v>
      </c>
      <c r="K173" s="9" t="n">
        <v>0.1314</v>
      </c>
      <c r="L173" s="9" t="n">
        <v>0.6013</v>
      </c>
      <c r="M173" s="10" t="n">
        <f aca="false">J173*(1-K173)</f>
        <v>121175.206924</v>
      </c>
      <c r="N173" s="10" t="n">
        <f aca="false">M173*L173</f>
        <v>72862.6519234012</v>
      </c>
      <c r="O173" s="10" t="n">
        <f aca="false">M173-N173</f>
        <v>48312.5550005988</v>
      </c>
      <c r="P173" s="10" t="n">
        <f aca="false">O173-I173</f>
        <v>-963.064007401204</v>
      </c>
      <c r="Q173" s="10" t="n">
        <f aca="false">(J173-D173)*(1-E173)*(1-F173)</f>
        <v>2285.924256</v>
      </c>
      <c r="R173" s="10" t="n">
        <f aca="false">J173*(E173-K173)*(1-F173)</f>
        <v>-667.95635592</v>
      </c>
      <c r="S173" s="10" t="n">
        <f aca="false">M173*(F173-L173)</f>
        <v>-2581.0319074812</v>
      </c>
      <c r="T173" s="10" t="n">
        <f aca="false">ROUND(P173-(Q173+R173+S173),2)</f>
        <v>0</v>
      </c>
    </row>
    <row r="174" customFormat="false" ht="15" hidden="false" customHeight="true" outlineLevel="0" collapsed="false">
      <c r="A174" s="7" t="s">
        <v>47</v>
      </c>
      <c r="B174" s="7" t="s">
        <v>72</v>
      </c>
      <c r="C174" s="7" t="s">
        <v>67</v>
      </c>
      <c r="D174" s="8" t="n">
        <v>137105.16</v>
      </c>
      <c r="E174" s="9" t="n">
        <v>0.12</v>
      </c>
      <c r="F174" s="9" t="n">
        <v>0.58</v>
      </c>
      <c r="G174" s="10" t="n">
        <f aca="false">D174*(1-E174)</f>
        <v>120652.5408</v>
      </c>
      <c r="H174" s="10" t="n">
        <f aca="false">G174*F174</f>
        <v>69978.473664</v>
      </c>
      <c r="I174" s="10" t="n">
        <f aca="false">G174-H174</f>
        <v>50674.067136</v>
      </c>
      <c r="J174" s="8" t="n">
        <v>136754.7</v>
      </c>
      <c r="K174" s="9" t="n">
        <v>0.1187</v>
      </c>
      <c r="L174" s="9" t="n">
        <v>0.5757</v>
      </c>
      <c r="M174" s="10" t="n">
        <f aca="false">J174*(1-K174)</f>
        <v>120521.91711</v>
      </c>
      <c r="N174" s="10" t="n">
        <f aca="false">M174*L174</f>
        <v>69384.467680227</v>
      </c>
      <c r="O174" s="10" t="n">
        <f aca="false">M174-N174</f>
        <v>51137.449429773</v>
      </c>
      <c r="P174" s="10" t="n">
        <f aca="false">O174-I174</f>
        <v>463.382293773</v>
      </c>
      <c r="Q174" s="10" t="n">
        <f aca="false">(J174-D174)*(1-E174)*(1-F174)</f>
        <v>-129.530015999997</v>
      </c>
      <c r="R174" s="10" t="n">
        <f aca="false">J174*(E174-K174)*(1-F174)</f>
        <v>74.6680661999998</v>
      </c>
      <c r="S174" s="10" t="n">
        <f aca="false">M174*(F174-L174)</f>
        <v>518.244243572997</v>
      </c>
      <c r="T174" s="10" t="n">
        <f aca="false">ROUND(P174-(Q174+R174+S174),2)</f>
        <v>0</v>
      </c>
    </row>
    <row r="175" customFormat="false" ht="15" hidden="false" customHeight="true" outlineLevel="0" collapsed="false">
      <c r="A175" s="7" t="s">
        <v>48</v>
      </c>
      <c r="B175" s="7" t="s">
        <v>72</v>
      </c>
      <c r="C175" s="7" t="s">
        <v>67</v>
      </c>
      <c r="D175" s="8" t="n">
        <v>140931.35</v>
      </c>
      <c r="E175" s="9" t="n">
        <v>0.12</v>
      </c>
      <c r="F175" s="9" t="n">
        <v>0.58</v>
      </c>
      <c r="G175" s="10" t="n">
        <f aca="false">D175*(1-E175)</f>
        <v>124019.588</v>
      </c>
      <c r="H175" s="10" t="n">
        <f aca="false">G175*F175</f>
        <v>71931.36104</v>
      </c>
      <c r="I175" s="10" t="n">
        <f aca="false">G175-H175</f>
        <v>52088.22696</v>
      </c>
      <c r="J175" s="8" t="n">
        <v>144907.69</v>
      </c>
      <c r="K175" s="9" t="n">
        <v>0.1344</v>
      </c>
      <c r="L175" s="9" t="n">
        <v>0.5729</v>
      </c>
      <c r="M175" s="10" t="n">
        <f aca="false">J175*(1-K175)</f>
        <v>125432.096464</v>
      </c>
      <c r="N175" s="10" t="n">
        <f aca="false">M175*L175</f>
        <v>71860.0480642256</v>
      </c>
      <c r="O175" s="10" t="n">
        <f aca="false">M175-N175</f>
        <v>53572.0483997744</v>
      </c>
      <c r="P175" s="10" t="n">
        <f aca="false">O175-I175</f>
        <v>1483.8214397744</v>
      </c>
      <c r="Q175" s="10" t="n">
        <f aca="false">(J175-D175)*(1-E175)*(1-F175)</f>
        <v>1469.655264</v>
      </c>
      <c r="R175" s="10" t="n">
        <f aca="false">J175*(E175-K175)*(1-F175)</f>
        <v>-876.40170912</v>
      </c>
      <c r="S175" s="10" t="n">
        <f aca="false">M175*(F175-L175)</f>
        <v>890.567884894399</v>
      </c>
      <c r="T175" s="10" t="n">
        <f aca="false">ROUND(P175-(Q175+R175+S175),2)</f>
        <v>0</v>
      </c>
    </row>
    <row r="176" customFormat="false" ht="15" hidden="false" customHeight="true" outlineLevel="0" collapsed="false">
      <c r="A176" s="7" t="s">
        <v>49</v>
      </c>
      <c r="B176" s="7" t="s">
        <v>72</v>
      </c>
      <c r="C176" s="7" t="s">
        <v>67</v>
      </c>
      <c r="D176" s="8" t="n">
        <v>139230.82</v>
      </c>
      <c r="E176" s="9" t="n">
        <v>0.12</v>
      </c>
      <c r="F176" s="9" t="n">
        <v>0.58</v>
      </c>
      <c r="G176" s="10" t="n">
        <f aca="false">D176*(1-E176)</f>
        <v>122523.1216</v>
      </c>
      <c r="H176" s="10" t="n">
        <f aca="false">G176*F176</f>
        <v>71063.410528</v>
      </c>
      <c r="I176" s="10" t="n">
        <f aca="false">G176-H176</f>
        <v>51459.711072</v>
      </c>
      <c r="J176" s="8" t="n">
        <v>134958.36</v>
      </c>
      <c r="K176" s="9" t="n">
        <v>0.1054</v>
      </c>
      <c r="L176" s="9" t="n">
        <v>0.577</v>
      </c>
      <c r="M176" s="10" t="n">
        <f aca="false">J176*(1-K176)</f>
        <v>120733.748856</v>
      </c>
      <c r="N176" s="10" t="n">
        <f aca="false">M176*L176</f>
        <v>69663.373089912</v>
      </c>
      <c r="O176" s="10" t="n">
        <f aca="false">M176-N176</f>
        <v>51070.375766088</v>
      </c>
      <c r="P176" s="10" t="n">
        <f aca="false">O176-I176</f>
        <v>-389.335305911998</v>
      </c>
      <c r="Q176" s="10" t="n">
        <f aca="false">(J176-D176)*(1-E176)*(1-F176)</f>
        <v>-1579.10121600001</v>
      </c>
      <c r="R176" s="10" t="n">
        <f aca="false">J176*(E176-K176)*(1-F176)</f>
        <v>827.56466352</v>
      </c>
      <c r="S176" s="10" t="n">
        <f aca="false">M176*(F176-L176)</f>
        <v>362.201246568</v>
      </c>
      <c r="T176" s="10" t="n">
        <f aca="false">ROUND(P176-(Q176+R176+S176),2)</f>
        <v>0</v>
      </c>
    </row>
    <row r="177" customFormat="false" ht="15" hidden="false" customHeight="true" outlineLevel="0" collapsed="false">
      <c r="A177" s="7" t="s">
        <v>50</v>
      </c>
      <c r="B177" s="7" t="s">
        <v>72</v>
      </c>
      <c r="C177" s="7" t="s">
        <v>67</v>
      </c>
      <c r="D177" s="8" t="n">
        <v>144502.46</v>
      </c>
      <c r="E177" s="9" t="n">
        <v>0.12</v>
      </c>
      <c r="F177" s="9" t="n">
        <v>0.58</v>
      </c>
      <c r="G177" s="10" t="n">
        <f aca="false">D177*(1-E177)</f>
        <v>127162.1648</v>
      </c>
      <c r="H177" s="10" t="n">
        <f aca="false">G177*F177</f>
        <v>73754.055584</v>
      </c>
      <c r="I177" s="10" t="n">
        <f aca="false">G177-H177</f>
        <v>53408.109216</v>
      </c>
      <c r="J177" s="8" t="n">
        <v>138015.87</v>
      </c>
      <c r="K177" s="9" t="n">
        <v>0.1225</v>
      </c>
      <c r="L177" s="9" t="n">
        <v>0.5756</v>
      </c>
      <c r="M177" s="10" t="n">
        <f aca="false">J177*(1-K177)</f>
        <v>121108.925925</v>
      </c>
      <c r="N177" s="10" t="n">
        <f aca="false">M177*L177</f>
        <v>69710.29776243</v>
      </c>
      <c r="O177" s="10" t="n">
        <f aca="false">M177-N177</f>
        <v>51398.62816257</v>
      </c>
      <c r="P177" s="10" t="n">
        <f aca="false">O177-I177</f>
        <v>-2009.48105343002</v>
      </c>
      <c r="Q177" s="10" t="n">
        <f aca="false">(J177-D177)*(1-E177)*(1-F177)</f>
        <v>-2397.443664</v>
      </c>
      <c r="R177" s="10" t="n">
        <f aca="false">J177*(E177-K177)*(1-F177)</f>
        <v>-144.9166635</v>
      </c>
      <c r="S177" s="10" t="n">
        <f aca="false">M177*(F177-L177)</f>
        <v>532.879274069995</v>
      </c>
      <c r="T177" s="10" t="n">
        <f aca="false">ROUND(P177-(Q177+R177+S177),2)</f>
        <v>-0</v>
      </c>
    </row>
    <row r="178" customFormat="false" ht="15" hidden="false" customHeight="true" outlineLevel="0" collapsed="false">
      <c r="A178" s="7" t="s">
        <v>51</v>
      </c>
      <c r="B178" s="7" t="s">
        <v>72</v>
      </c>
      <c r="C178" s="7" t="s">
        <v>67</v>
      </c>
      <c r="D178" s="8" t="n">
        <v>148424.3</v>
      </c>
      <c r="E178" s="9" t="n">
        <v>0.12</v>
      </c>
      <c r="F178" s="9" t="n">
        <v>0.58</v>
      </c>
      <c r="G178" s="10" t="n">
        <f aca="false">D178*(1-E178)</f>
        <v>130613.384</v>
      </c>
      <c r="H178" s="10" t="n">
        <f aca="false">G178*F178</f>
        <v>75755.76272</v>
      </c>
      <c r="I178" s="10" t="n">
        <f aca="false">G178-H178</f>
        <v>54857.62128</v>
      </c>
      <c r="J178" s="8" t="n">
        <v>145149.1</v>
      </c>
      <c r="K178" s="9" t="n">
        <v>0.1304</v>
      </c>
      <c r="L178" s="9" t="n">
        <v>0.5983</v>
      </c>
      <c r="M178" s="10" t="n">
        <f aca="false">J178*(1-K178)</f>
        <v>126221.65736</v>
      </c>
      <c r="N178" s="10" t="n">
        <f aca="false">M178*L178</f>
        <v>75518.417598488</v>
      </c>
      <c r="O178" s="10" t="n">
        <f aca="false">M178-N178</f>
        <v>50703.239761512</v>
      </c>
      <c r="P178" s="10" t="n">
        <f aca="false">O178-I178</f>
        <v>-4154.38151848801</v>
      </c>
      <c r="Q178" s="10" t="n">
        <f aca="false">(J178-D178)*(1-E178)*(1-F178)</f>
        <v>-1210.51391999999</v>
      </c>
      <c r="R178" s="10" t="n">
        <f aca="false">J178*(E178-K178)*(1-F178)</f>
        <v>-634.0112688</v>
      </c>
      <c r="S178" s="10" t="n">
        <f aca="false">M178*(F178-L178)</f>
        <v>-2309.85632968801</v>
      </c>
      <c r="T178" s="10" t="n">
        <f aca="false">ROUND(P178-(Q178+R178+S178),2)</f>
        <v>0</v>
      </c>
    </row>
    <row r="179" customFormat="false" ht="15" hidden="false" customHeight="true" outlineLevel="0" collapsed="false">
      <c r="A179" s="7" t="s">
        <v>52</v>
      </c>
      <c r="B179" s="7" t="s">
        <v>72</v>
      </c>
      <c r="C179" s="7" t="s">
        <v>67</v>
      </c>
      <c r="D179" s="8" t="n">
        <v>156661.24</v>
      </c>
      <c r="E179" s="9" t="n">
        <v>0.12</v>
      </c>
      <c r="F179" s="9" t="n">
        <v>0.58</v>
      </c>
      <c r="G179" s="10" t="n">
        <f aca="false">D179*(1-E179)</f>
        <v>137861.8912</v>
      </c>
      <c r="H179" s="10" t="n">
        <f aca="false">G179*F179</f>
        <v>79959.896896</v>
      </c>
      <c r="I179" s="10" t="n">
        <f aca="false">G179-H179</f>
        <v>57901.994304</v>
      </c>
      <c r="J179" s="8" t="n">
        <v>151174.25</v>
      </c>
      <c r="K179" s="9" t="n">
        <v>0.1161</v>
      </c>
      <c r="L179" s="9" t="n">
        <v>0.5974</v>
      </c>
      <c r="M179" s="10" t="n">
        <f aca="false">J179*(1-K179)</f>
        <v>133622.919575</v>
      </c>
      <c r="N179" s="10" t="n">
        <f aca="false">M179*L179</f>
        <v>79826.332154105</v>
      </c>
      <c r="O179" s="10" t="n">
        <f aca="false">M179-N179</f>
        <v>53796.587420895</v>
      </c>
      <c r="P179" s="10" t="n">
        <f aca="false">O179-I179</f>
        <v>-4105.406883105</v>
      </c>
      <c r="Q179" s="10" t="n">
        <f aca="false">(J179-D179)*(1-E179)*(1-F179)</f>
        <v>-2027.991504</v>
      </c>
      <c r="R179" s="10" t="n">
        <f aca="false">J179*(E179-K179)*(1-F179)</f>
        <v>247.6234215</v>
      </c>
      <c r="S179" s="10" t="n">
        <f aca="false">M179*(F179-L179)</f>
        <v>-2325.03880060501</v>
      </c>
      <c r="T179" s="10" t="n">
        <f aca="false">ROUND(P179-(Q179+R179+S179),2)</f>
        <v>0</v>
      </c>
    </row>
    <row r="180" customFormat="false" ht="15" hidden="false" customHeight="true" outlineLevel="0" collapsed="false">
      <c r="A180" s="7" t="s">
        <v>53</v>
      </c>
      <c r="B180" s="7" t="s">
        <v>72</v>
      </c>
      <c r="C180" s="7" t="s">
        <v>67</v>
      </c>
      <c r="D180" s="8" t="n">
        <v>186526.78</v>
      </c>
      <c r="E180" s="9" t="n">
        <v>0.12</v>
      </c>
      <c r="F180" s="9" t="n">
        <v>0.58</v>
      </c>
      <c r="G180" s="10" t="n">
        <f aca="false">D180*(1-E180)</f>
        <v>164143.5664</v>
      </c>
      <c r="H180" s="10" t="n">
        <f aca="false">G180*F180</f>
        <v>95203.268512</v>
      </c>
      <c r="I180" s="10" t="n">
        <f aca="false">G180-H180</f>
        <v>68940.297888</v>
      </c>
      <c r="J180" s="8" t="n">
        <v>178859.45</v>
      </c>
      <c r="K180" s="9" t="n">
        <v>0.117</v>
      </c>
      <c r="L180" s="9" t="n">
        <v>0.577</v>
      </c>
      <c r="M180" s="10" t="n">
        <f aca="false">J180*(1-K180)</f>
        <v>157932.89435</v>
      </c>
      <c r="N180" s="10" t="n">
        <f aca="false">M180*L180</f>
        <v>91127.28003995</v>
      </c>
      <c r="O180" s="10" t="n">
        <f aca="false">M180-N180</f>
        <v>66805.61431005</v>
      </c>
      <c r="P180" s="10" t="n">
        <f aca="false">O180-I180</f>
        <v>-2134.68357795</v>
      </c>
      <c r="Q180" s="10" t="n">
        <f aca="false">(J180-D180)*(1-E180)*(1-F180)</f>
        <v>-2833.845168</v>
      </c>
      <c r="R180" s="10" t="n">
        <f aca="false">J180*(E180-K180)*(1-F180)</f>
        <v>225.362906999999</v>
      </c>
      <c r="S180" s="10" t="n">
        <f aca="false">M180*(F180-L180)</f>
        <v>473.798683050001</v>
      </c>
      <c r="T180" s="10" t="n">
        <f aca="false">ROUND(P180-(Q180+R180+S180),2)</f>
        <v>0</v>
      </c>
    </row>
    <row r="181" customFormat="false" ht="15" hidden="false" customHeight="true" outlineLevel="0" collapsed="false">
      <c r="A181" s="7" t="s">
        <v>54</v>
      </c>
      <c r="B181" s="7" t="s">
        <v>72</v>
      </c>
      <c r="C181" s="7" t="s">
        <v>67</v>
      </c>
      <c r="D181" s="8" t="n">
        <v>176344.87</v>
      </c>
      <c r="E181" s="9" t="n">
        <v>0.12</v>
      </c>
      <c r="F181" s="9" t="n">
        <v>0.58</v>
      </c>
      <c r="G181" s="10" t="n">
        <f aca="false">D181*(1-E181)</f>
        <v>155183.4856</v>
      </c>
      <c r="H181" s="10" t="n">
        <f aca="false">G181*F181</f>
        <v>90006.421648</v>
      </c>
      <c r="I181" s="10" t="n">
        <f aca="false">G181-H181</f>
        <v>65177.063952</v>
      </c>
      <c r="J181" s="8" t="n">
        <v>191080.35</v>
      </c>
      <c r="K181" s="9" t="n">
        <v>0.1118</v>
      </c>
      <c r="L181" s="9" t="n">
        <v>0.5849</v>
      </c>
      <c r="M181" s="10" t="n">
        <f aca="false">J181*(1-K181)</f>
        <v>169717.56687</v>
      </c>
      <c r="N181" s="10" t="n">
        <f aca="false">M181*L181</f>
        <v>99267.804862263</v>
      </c>
      <c r="O181" s="10" t="n">
        <f aca="false">M181-N181</f>
        <v>70449.762007737</v>
      </c>
      <c r="P181" s="10" t="n">
        <f aca="false">O181-I181</f>
        <v>5272.69805573701</v>
      </c>
      <c r="Q181" s="10" t="n">
        <f aca="false">(J181-D181)*(1-E181)*(1-F181)</f>
        <v>5446.23340800001</v>
      </c>
      <c r="R181" s="10" t="n">
        <f aca="false">J181*(E181-K181)*(1-F181)</f>
        <v>658.0807254</v>
      </c>
      <c r="S181" s="10" t="n">
        <f aca="false">M181*(F181-L181)</f>
        <v>-831.616077663003</v>
      </c>
      <c r="T181" s="10" t="n">
        <f aca="false">ROUND(P181-(Q181+R181+S181),2)</f>
        <v>0</v>
      </c>
    </row>
    <row r="182" customFormat="false" ht="15" hidden="false" customHeight="true" outlineLevel="0" collapsed="false">
      <c r="A182" s="7" t="s">
        <v>55</v>
      </c>
      <c r="B182" s="7" t="s">
        <v>72</v>
      </c>
      <c r="C182" s="7" t="s">
        <v>67</v>
      </c>
      <c r="D182" s="8" t="n">
        <v>131047.02</v>
      </c>
      <c r="E182" s="9" t="n">
        <v>0.12</v>
      </c>
      <c r="F182" s="9" t="n">
        <v>0.58</v>
      </c>
      <c r="G182" s="10" t="n">
        <f aca="false">D182*(1-E182)</f>
        <v>115321.3776</v>
      </c>
      <c r="H182" s="10" t="n">
        <f aca="false">G182*F182</f>
        <v>66886.399008</v>
      </c>
      <c r="I182" s="10" t="n">
        <f aca="false">G182-H182</f>
        <v>48434.978592</v>
      </c>
      <c r="J182" s="8" t="n">
        <v>119411.05</v>
      </c>
      <c r="K182" s="9" t="n">
        <v>0.1368</v>
      </c>
      <c r="L182" s="9" t="n">
        <v>0.584</v>
      </c>
      <c r="M182" s="10" t="n">
        <f aca="false">J182*(1-K182)</f>
        <v>103075.61836</v>
      </c>
      <c r="N182" s="10" t="n">
        <f aca="false">M182*L182</f>
        <v>60196.16112224</v>
      </c>
      <c r="O182" s="10" t="n">
        <f aca="false">M182-N182</f>
        <v>42879.45723776</v>
      </c>
      <c r="P182" s="10" t="n">
        <f aca="false">O182-I182</f>
        <v>-5555.52135424002</v>
      </c>
      <c r="Q182" s="10" t="n">
        <f aca="false">(J182-D182)*(1-E182)*(1-F182)</f>
        <v>-4300.654512</v>
      </c>
      <c r="R182" s="10" t="n">
        <f aca="false">J182*(E182-K182)*(1-F182)</f>
        <v>-842.564368800001</v>
      </c>
      <c r="S182" s="10" t="n">
        <f aca="false">M182*(F182-L182)</f>
        <v>-412.30247344</v>
      </c>
      <c r="T182" s="10" t="n">
        <f aca="false">ROUND(P182-(Q182+R182+S182),2)</f>
        <v>0</v>
      </c>
    </row>
    <row r="183" customFormat="false" ht="15" hidden="false" customHeight="true" outlineLevel="0" collapsed="false">
      <c r="A183" s="7" t="s">
        <v>56</v>
      </c>
      <c r="B183" s="7" t="s">
        <v>72</v>
      </c>
      <c r="C183" s="7" t="s">
        <v>67</v>
      </c>
      <c r="D183" s="8" t="n">
        <v>129070.16</v>
      </c>
      <c r="E183" s="9" t="n">
        <v>0.12</v>
      </c>
      <c r="F183" s="9" t="n">
        <v>0.58</v>
      </c>
      <c r="G183" s="10" t="n">
        <f aca="false">D183*(1-E183)</f>
        <v>113581.7408</v>
      </c>
      <c r="H183" s="10" t="n">
        <f aca="false">G183*F183</f>
        <v>65877.409664</v>
      </c>
      <c r="I183" s="10" t="n">
        <f aca="false">G183-H183</f>
        <v>47704.331136</v>
      </c>
      <c r="J183" s="8" t="n">
        <v>131578.61</v>
      </c>
      <c r="K183" s="9" t="n">
        <v>0.1134</v>
      </c>
      <c r="L183" s="9" t="n">
        <v>0.601</v>
      </c>
      <c r="M183" s="10" t="n">
        <f aca="false">J183*(1-K183)</f>
        <v>116657.595626</v>
      </c>
      <c r="N183" s="10" t="n">
        <f aca="false">M183*L183</f>
        <v>70111.214971226</v>
      </c>
      <c r="O183" s="10" t="n">
        <f aca="false">M183-N183</f>
        <v>46546.380654774</v>
      </c>
      <c r="P183" s="10" t="n">
        <f aca="false">O183-I183</f>
        <v>-1157.95048122601</v>
      </c>
      <c r="Q183" s="10" t="n">
        <f aca="false">(J183-D183)*(1-E183)*(1-F183)</f>
        <v>927.123119999994</v>
      </c>
      <c r="R183" s="10" t="n">
        <f aca="false">J183*(E183-K183)*(1-F183)</f>
        <v>364.73590692</v>
      </c>
      <c r="S183" s="10" t="n">
        <f aca="false">M183*(F183-L183)</f>
        <v>-2449.809508146</v>
      </c>
      <c r="T183" s="10" t="n">
        <f aca="false">ROUND(P183-(Q183+R183+S183),2)</f>
        <v>-0</v>
      </c>
    </row>
    <row r="184" customFormat="false" ht="15" hidden="false" customHeight="true" outlineLevel="0" collapsed="false">
      <c r="A184" s="7" t="s">
        <v>57</v>
      </c>
      <c r="B184" s="7" t="s">
        <v>72</v>
      </c>
      <c r="C184" s="7" t="s">
        <v>67</v>
      </c>
      <c r="D184" s="8" t="n">
        <v>140346.79</v>
      </c>
      <c r="E184" s="9" t="n">
        <v>0.12</v>
      </c>
      <c r="F184" s="9" t="n">
        <v>0.58</v>
      </c>
      <c r="G184" s="10" t="n">
        <f aca="false">D184*(1-E184)</f>
        <v>123505.1752</v>
      </c>
      <c r="H184" s="10" t="n">
        <f aca="false">G184*F184</f>
        <v>71633.001616</v>
      </c>
      <c r="I184" s="10" t="n">
        <f aca="false">G184-H184</f>
        <v>51872.173584</v>
      </c>
      <c r="J184" s="8" t="n">
        <v>143321.21</v>
      </c>
      <c r="K184" s="9" t="n">
        <v>0.1283</v>
      </c>
      <c r="L184" s="9" t="n">
        <v>0.5889</v>
      </c>
      <c r="M184" s="10" t="n">
        <f aca="false">J184*(1-K184)</f>
        <v>124933.098757</v>
      </c>
      <c r="N184" s="10" t="n">
        <f aca="false">M184*L184</f>
        <v>73573.1018579973</v>
      </c>
      <c r="O184" s="10" t="n">
        <f aca="false">M184-N184</f>
        <v>51359.9968990027</v>
      </c>
      <c r="P184" s="10" t="n">
        <f aca="false">O184-I184</f>
        <v>-512.176684997306</v>
      </c>
      <c r="Q184" s="10" t="n">
        <f aca="false">(J184-D184)*(1-E184)*(1-F184)</f>
        <v>1099.34563199999</v>
      </c>
      <c r="R184" s="10" t="n">
        <f aca="false">J184*(E184-K184)*(1-F184)</f>
        <v>-499.61773806</v>
      </c>
      <c r="S184" s="10" t="n">
        <f aca="false">M184*(F184-L184)</f>
        <v>-1111.9045789373</v>
      </c>
      <c r="T184" s="10" t="n">
        <f aca="false">ROUND(P184-(Q184+R184+S184),2)</f>
        <v>0</v>
      </c>
    </row>
    <row r="185" customFormat="false" ht="15" hidden="false" customHeight="true" outlineLevel="0" collapsed="false">
      <c r="A185" s="7" t="s">
        <v>58</v>
      </c>
      <c r="B185" s="7" t="s">
        <v>72</v>
      </c>
      <c r="C185" s="7" t="s">
        <v>67</v>
      </c>
      <c r="D185" s="8" t="n">
        <v>145820.37</v>
      </c>
      <c r="E185" s="9" t="n">
        <v>0.12</v>
      </c>
      <c r="F185" s="9" t="n">
        <v>0.58</v>
      </c>
      <c r="G185" s="10" t="n">
        <f aca="false">D185*(1-E185)</f>
        <v>128321.9256</v>
      </c>
      <c r="H185" s="10" t="n">
        <f aca="false">G185*F185</f>
        <v>74426.716848</v>
      </c>
      <c r="I185" s="10" t="n">
        <f aca="false">G185-H185</f>
        <v>53895.208752</v>
      </c>
      <c r="J185" s="8" t="n">
        <v>137420.39</v>
      </c>
      <c r="K185" s="9" t="n">
        <v>0.1425</v>
      </c>
      <c r="L185" s="9" t="n">
        <v>0.573</v>
      </c>
      <c r="M185" s="10" t="n">
        <f aca="false">J185*(1-K185)</f>
        <v>117837.984425</v>
      </c>
      <c r="N185" s="10" t="n">
        <f aca="false">M185*L185</f>
        <v>67521.165075525</v>
      </c>
      <c r="O185" s="10" t="n">
        <f aca="false">M185-N185</f>
        <v>50316.819349475</v>
      </c>
      <c r="P185" s="10" t="n">
        <f aca="false">O185-I185</f>
        <v>-3578.38940252499</v>
      </c>
      <c r="Q185" s="10" t="n">
        <f aca="false">(J185-D185)*(1-E185)*(1-F185)</f>
        <v>-3104.63260799999</v>
      </c>
      <c r="R185" s="10" t="n">
        <f aca="false">J185*(E185-K185)*(1-F185)</f>
        <v>-1298.6226855</v>
      </c>
      <c r="S185" s="10" t="n">
        <f aca="false">M185*(F185-L185)</f>
        <v>824.865890975001</v>
      </c>
      <c r="T185" s="10" t="n">
        <f aca="false">ROUND(P185-(Q185+R185+S185),2)</f>
        <v>0</v>
      </c>
    </row>
    <row r="186" customFormat="false" ht="15" hidden="false" customHeight="true" outlineLevel="0" collapsed="false">
      <c r="A186" s="7" t="s">
        <v>59</v>
      </c>
      <c r="B186" s="7" t="s">
        <v>72</v>
      </c>
      <c r="C186" s="7" t="s">
        <v>67</v>
      </c>
      <c r="D186" s="8" t="n">
        <v>149859.13</v>
      </c>
      <c r="E186" s="9" t="n">
        <v>0.12</v>
      </c>
      <c r="F186" s="9" t="n">
        <v>0.58</v>
      </c>
      <c r="G186" s="10" t="n">
        <f aca="false">D186*(1-E186)</f>
        <v>131876.0344</v>
      </c>
      <c r="H186" s="10" t="n">
        <f aca="false">G186*F186</f>
        <v>76488.099952</v>
      </c>
      <c r="I186" s="10" t="n">
        <f aca="false">G186-H186</f>
        <v>55387.934448</v>
      </c>
      <c r="J186" s="8" t="n">
        <v>160293.9</v>
      </c>
      <c r="K186" s="9" t="n">
        <v>0.1243</v>
      </c>
      <c r="L186" s="9" t="n">
        <v>0.5894</v>
      </c>
      <c r="M186" s="10" t="n">
        <f aca="false">J186*(1-K186)</f>
        <v>140369.36823</v>
      </c>
      <c r="N186" s="10" t="n">
        <f aca="false">M186*L186</f>
        <v>82733.705634762</v>
      </c>
      <c r="O186" s="10" t="n">
        <f aca="false">M186-N186</f>
        <v>57635.662595238</v>
      </c>
      <c r="P186" s="10" t="n">
        <f aca="false">O186-I186</f>
        <v>2247.728147238</v>
      </c>
      <c r="Q186" s="10" t="n">
        <f aca="false">(J186-D186)*(1-E186)*(1-F186)</f>
        <v>3856.690992</v>
      </c>
      <c r="R186" s="10" t="n">
        <f aca="false">J186*(E186-K186)*(1-F186)</f>
        <v>-289.4907834</v>
      </c>
      <c r="S186" s="10" t="n">
        <f aca="false">M186*(F186-L186)</f>
        <v>-1319.47206136201</v>
      </c>
      <c r="T186" s="10" t="n">
        <f aca="false">ROUND(P186-(Q186+R186+S186),2)</f>
        <v>0</v>
      </c>
    </row>
    <row r="187" customFormat="false" ht="15" hidden="false" customHeight="true" outlineLevel="0" collapsed="false">
      <c r="A187" s="7" t="s">
        <v>60</v>
      </c>
      <c r="B187" s="7" t="s">
        <v>72</v>
      </c>
      <c r="C187" s="7" t="s">
        <v>67</v>
      </c>
      <c r="D187" s="8" t="n">
        <v>153940.39</v>
      </c>
      <c r="E187" s="9" t="n">
        <v>0.12</v>
      </c>
      <c r="F187" s="9" t="n">
        <v>0.58</v>
      </c>
      <c r="G187" s="10" t="n">
        <f aca="false">D187*(1-E187)</f>
        <v>135467.5432</v>
      </c>
      <c r="H187" s="10" t="n">
        <f aca="false">G187*F187</f>
        <v>78571.175056</v>
      </c>
      <c r="I187" s="10" t="n">
        <f aca="false">G187-H187</f>
        <v>56896.368144</v>
      </c>
      <c r="J187" s="8" t="n">
        <v>146396.83</v>
      </c>
      <c r="K187" s="9" t="n">
        <v>0.1368</v>
      </c>
      <c r="L187" s="9" t="n">
        <v>0.5841</v>
      </c>
      <c r="M187" s="10" t="n">
        <f aca="false">J187*(1-K187)</f>
        <v>126369.743656</v>
      </c>
      <c r="N187" s="10" t="n">
        <f aca="false">M187*L187</f>
        <v>73812.5672694696</v>
      </c>
      <c r="O187" s="10" t="n">
        <f aca="false">M187-N187</f>
        <v>52557.1763865304</v>
      </c>
      <c r="P187" s="10" t="n">
        <f aca="false">O187-I187</f>
        <v>-4339.19175746961</v>
      </c>
      <c r="Q187" s="10" t="n">
        <f aca="false">(J187-D187)*(1-E187)*(1-F187)</f>
        <v>-2788.09977600001</v>
      </c>
      <c r="R187" s="10" t="n">
        <f aca="false">J187*(E187-K187)*(1-F187)</f>
        <v>-1032.97603248</v>
      </c>
      <c r="S187" s="10" t="n">
        <f aca="false">M187*(F187-L187)</f>
        <v>-518.115948989599</v>
      </c>
      <c r="T187" s="10" t="n">
        <f aca="false">ROUND(P187-(Q187+R187+S187),2)</f>
        <v>0</v>
      </c>
    </row>
    <row r="188" customFormat="false" ht="15" hidden="false" customHeight="true" outlineLevel="0" collapsed="false">
      <c r="A188" s="7" t="s">
        <v>61</v>
      </c>
      <c r="B188" s="7" t="s">
        <v>72</v>
      </c>
      <c r="C188" s="7" t="s">
        <v>67</v>
      </c>
      <c r="D188" s="8" t="n">
        <v>151984.79</v>
      </c>
      <c r="E188" s="9" t="n">
        <v>0.12</v>
      </c>
      <c r="F188" s="9" t="n">
        <v>0.58</v>
      </c>
      <c r="G188" s="10" t="n">
        <f aca="false">D188*(1-E188)</f>
        <v>133746.6152</v>
      </c>
      <c r="H188" s="10" t="n">
        <f aca="false">G188*F188</f>
        <v>77573.036816</v>
      </c>
      <c r="I188" s="10" t="n">
        <f aca="false">G188-H188</f>
        <v>56173.578384</v>
      </c>
      <c r="J188" s="8" t="n">
        <v>153690.6</v>
      </c>
      <c r="K188" s="9" t="n">
        <v>0.1275</v>
      </c>
      <c r="L188" s="9" t="n">
        <v>0.58</v>
      </c>
      <c r="M188" s="10" t="n">
        <f aca="false">J188*(1-K188)</f>
        <v>134095.0485</v>
      </c>
      <c r="N188" s="10" t="n">
        <f aca="false">M188*L188</f>
        <v>77775.12813</v>
      </c>
      <c r="O188" s="10" t="n">
        <f aca="false">M188-N188</f>
        <v>56319.92037</v>
      </c>
      <c r="P188" s="10" t="n">
        <f aca="false">O188-I188</f>
        <v>146.341985999999</v>
      </c>
      <c r="Q188" s="10" t="n">
        <f aca="false">(J188-D188)*(1-E188)*(1-F188)</f>
        <v>630.467375999999</v>
      </c>
      <c r="R188" s="10" t="n">
        <f aca="false">J188*(E188-K188)*(1-F188)</f>
        <v>-484.125390000001</v>
      </c>
      <c r="S188" s="10" t="n">
        <f aca="false">M188*(F188-L188)</f>
        <v>0</v>
      </c>
      <c r="T188" s="10" t="n">
        <f aca="false">ROUND(P188-(Q188+R188+S188),2)</f>
        <v>0</v>
      </c>
    </row>
    <row r="189" customFormat="false" ht="15" hidden="false" customHeight="true" outlineLevel="0" collapsed="false">
      <c r="A189" s="7" t="s">
        <v>62</v>
      </c>
      <c r="B189" s="7" t="s">
        <v>72</v>
      </c>
      <c r="C189" s="7" t="s">
        <v>67</v>
      </c>
      <c r="D189" s="8" t="n">
        <v>157639.05</v>
      </c>
      <c r="E189" s="9" t="n">
        <v>0.12</v>
      </c>
      <c r="F189" s="9" t="n">
        <v>0.58</v>
      </c>
      <c r="G189" s="10" t="n">
        <f aca="false">D189*(1-E189)</f>
        <v>138722.364</v>
      </c>
      <c r="H189" s="10" t="n">
        <f aca="false">G189*F189</f>
        <v>80458.97112</v>
      </c>
      <c r="I189" s="10" t="n">
        <f aca="false">G189-H189</f>
        <v>58263.39288</v>
      </c>
      <c r="J189" s="8" t="n">
        <v>144264.81</v>
      </c>
      <c r="K189" s="9" t="n">
        <v>0.1266</v>
      </c>
      <c r="L189" s="9" t="n">
        <v>0.5879</v>
      </c>
      <c r="M189" s="10" t="n">
        <f aca="false">J189*(1-K189)</f>
        <v>126000.885054</v>
      </c>
      <c r="N189" s="10" t="n">
        <f aca="false">M189*L189</f>
        <v>74075.9203232466</v>
      </c>
      <c r="O189" s="10" t="n">
        <f aca="false">M189-N189</f>
        <v>51924.9647307534</v>
      </c>
      <c r="P189" s="10" t="n">
        <f aca="false">O189-I189</f>
        <v>-6338.4281492466</v>
      </c>
      <c r="Q189" s="10" t="n">
        <f aca="false">(J189-D189)*(1-E189)*(1-F189)</f>
        <v>-4943.119104</v>
      </c>
      <c r="R189" s="10" t="n">
        <f aca="false">J189*(E189-K189)*(1-F189)</f>
        <v>-399.90205332</v>
      </c>
      <c r="S189" s="10" t="n">
        <f aca="false">M189*(F189-L189)</f>
        <v>-995.406991926602</v>
      </c>
      <c r="T189" s="10" t="n">
        <f aca="false">ROUND(P189-(Q189+R189+S189),2)</f>
        <v>0</v>
      </c>
    </row>
    <row r="190" customFormat="false" ht="15" hidden="false" customHeight="true" outlineLevel="0" collapsed="false">
      <c r="A190" s="7" t="s">
        <v>63</v>
      </c>
      <c r="B190" s="7" t="s">
        <v>72</v>
      </c>
      <c r="C190" s="7" t="s">
        <v>67</v>
      </c>
      <c r="D190" s="8" t="n">
        <v>161815.97</v>
      </c>
      <c r="E190" s="9" t="n">
        <v>0.12</v>
      </c>
      <c r="F190" s="9" t="n">
        <v>0.58</v>
      </c>
      <c r="G190" s="10" t="n">
        <f aca="false">D190*(1-E190)</f>
        <v>142398.0536</v>
      </c>
      <c r="H190" s="10" t="n">
        <f aca="false">G190*F190</f>
        <v>82590.871088</v>
      </c>
      <c r="I190" s="10" t="n">
        <f aca="false">G190-H190</f>
        <v>59807.182512</v>
      </c>
      <c r="J190" s="8" t="n">
        <v>150610.14</v>
      </c>
      <c r="K190" s="9" t="n">
        <v>0.1158</v>
      </c>
      <c r="L190" s="9" t="n">
        <v>0.572</v>
      </c>
      <c r="M190" s="10" t="n">
        <f aca="false">J190*(1-K190)</f>
        <v>133169.485788</v>
      </c>
      <c r="N190" s="10" t="n">
        <f aca="false">M190*L190</f>
        <v>76172.945870736</v>
      </c>
      <c r="O190" s="10" t="n">
        <f aca="false">M190-N190</f>
        <v>56996.539917264</v>
      </c>
      <c r="P190" s="10" t="n">
        <f aca="false">O190-I190</f>
        <v>-2810.642594736</v>
      </c>
      <c r="Q190" s="10" t="n">
        <f aca="false">(J190-D190)*(1-E190)*(1-F190)</f>
        <v>-4141.674768</v>
      </c>
      <c r="R190" s="10" t="n">
        <f aca="false">J190*(E190-K190)*(1-F190)</f>
        <v>265.67628696</v>
      </c>
      <c r="S190" s="10" t="n">
        <f aca="false">M190*(F190-L190)</f>
        <v>1065.355886304</v>
      </c>
      <c r="T190" s="10" t="n">
        <f aca="false">ROUND(P190-(Q190+R190+S190),2)</f>
        <v>0</v>
      </c>
    </row>
    <row r="191" customFormat="false" ht="15" hidden="false" customHeight="true" outlineLevel="0" collapsed="false">
      <c r="A191" s="7" t="s">
        <v>64</v>
      </c>
      <c r="B191" s="7" t="s">
        <v>72</v>
      </c>
      <c r="C191" s="7" t="s">
        <v>67</v>
      </c>
      <c r="D191" s="8" t="n">
        <v>170690.61</v>
      </c>
      <c r="E191" s="9" t="n">
        <v>0.12</v>
      </c>
      <c r="F191" s="9" t="n">
        <v>0.58</v>
      </c>
      <c r="G191" s="10" t="n">
        <f aca="false">D191*(1-E191)</f>
        <v>150207.7368</v>
      </c>
      <c r="H191" s="10" t="n">
        <f aca="false">G191*F191</f>
        <v>87120.487344</v>
      </c>
      <c r="I191" s="10" t="n">
        <f aca="false">G191-H191</f>
        <v>63087.249456</v>
      </c>
      <c r="J191" s="8" t="n">
        <v>163674.16</v>
      </c>
      <c r="K191" s="9" t="n">
        <v>0.1123</v>
      </c>
      <c r="L191" s="9" t="n">
        <v>0.5788</v>
      </c>
      <c r="M191" s="10" t="n">
        <f aca="false">J191*(1-K191)</f>
        <v>145293.551832</v>
      </c>
      <c r="N191" s="10" t="n">
        <f aca="false">M191*L191</f>
        <v>84095.9078003616</v>
      </c>
      <c r="O191" s="10" t="n">
        <f aca="false">M191-N191</f>
        <v>61197.6440316384</v>
      </c>
      <c r="P191" s="10" t="n">
        <f aca="false">O191-I191</f>
        <v>-1889.60542436161</v>
      </c>
      <c r="Q191" s="10" t="n">
        <f aca="false">(J191-D191)*(1-E191)*(1-F191)</f>
        <v>-2593.27991999999</v>
      </c>
      <c r="R191" s="10" t="n">
        <f aca="false">J191*(E191-K191)*(1-F191)</f>
        <v>529.32223344</v>
      </c>
      <c r="S191" s="10" t="n">
        <f aca="false">M191*(F191-L191)</f>
        <v>174.352262198397</v>
      </c>
      <c r="T191" s="10" t="n">
        <f aca="false">ROUND(P191-(Q191+R191+S191),2)</f>
        <v>-0</v>
      </c>
    </row>
    <row r="192" customFormat="false" ht="15" hidden="false" customHeight="true" outlineLevel="0" collapsed="false">
      <c r="A192" s="7" t="s">
        <v>65</v>
      </c>
      <c r="B192" s="7" t="s">
        <v>72</v>
      </c>
      <c r="C192" s="7" t="s">
        <v>67</v>
      </c>
      <c r="D192" s="8" t="n">
        <v>203106.94</v>
      </c>
      <c r="E192" s="9" t="n">
        <v>0.12</v>
      </c>
      <c r="F192" s="9" t="n">
        <v>0.58</v>
      </c>
      <c r="G192" s="10" t="n">
        <f aca="false">D192*(1-E192)</f>
        <v>178734.1072</v>
      </c>
      <c r="H192" s="10" t="n">
        <f aca="false">G192*F192</f>
        <v>103665.782176</v>
      </c>
      <c r="I192" s="10" t="n">
        <f aca="false">G192-H192</f>
        <v>75068.325024</v>
      </c>
      <c r="J192" s="8" t="n">
        <v>206176.96</v>
      </c>
      <c r="K192" s="9" t="n">
        <v>0.128</v>
      </c>
      <c r="L192" s="9" t="n">
        <v>0.587</v>
      </c>
      <c r="M192" s="10" t="n">
        <f aca="false">J192*(1-K192)</f>
        <v>179786.30912</v>
      </c>
      <c r="N192" s="10" t="n">
        <f aca="false">M192*L192</f>
        <v>105534.56345344</v>
      </c>
      <c r="O192" s="10" t="n">
        <f aca="false">M192-N192</f>
        <v>74251.74566656</v>
      </c>
      <c r="P192" s="10" t="n">
        <f aca="false">O192-I192</f>
        <v>-816.579357440001</v>
      </c>
      <c r="Q192" s="10" t="n">
        <f aca="false">(J192-D192)*(1-E192)*(1-F192)</f>
        <v>1134.679392</v>
      </c>
      <c r="R192" s="10" t="n">
        <f aca="false">J192*(E192-K192)*(1-F192)</f>
        <v>-692.754585600001</v>
      </c>
      <c r="S192" s="10" t="n">
        <f aca="false">M192*(F192-L192)</f>
        <v>-1258.50416384</v>
      </c>
      <c r="T192" s="10" t="n">
        <f aca="false">ROUND(P192-(Q192+R192+S192),2)</f>
        <v>0</v>
      </c>
    </row>
    <row r="193" customFormat="false" ht="15" hidden="false" customHeight="true" outlineLevel="0" collapsed="false">
      <c r="A193" s="7" t="s">
        <v>66</v>
      </c>
      <c r="B193" s="7" t="s">
        <v>72</v>
      </c>
      <c r="C193" s="7" t="s">
        <v>67</v>
      </c>
      <c r="D193" s="8" t="n">
        <v>191904.71</v>
      </c>
      <c r="E193" s="9" t="n">
        <v>0.12</v>
      </c>
      <c r="F193" s="9" t="n">
        <v>0.58</v>
      </c>
      <c r="G193" s="10" t="n">
        <f aca="false">D193*(1-E193)</f>
        <v>168876.1448</v>
      </c>
      <c r="H193" s="10" t="n">
        <f aca="false">G193*F193</f>
        <v>97948.163984</v>
      </c>
      <c r="I193" s="10" t="n">
        <f aca="false">G193-H193</f>
        <v>70927.980816</v>
      </c>
      <c r="J193" s="8" t="n">
        <v>206999.9</v>
      </c>
      <c r="K193" s="9" t="n">
        <v>0.1196</v>
      </c>
      <c r="L193" s="9" t="n">
        <v>0.575</v>
      </c>
      <c r="M193" s="10" t="n">
        <f aca="false">J193*(1-K193)</f>
        <v>182242.71196</v>
      </c>
      <c r="N193" s="10" t="n">
        <f aca="false">M193*L193</f>
        <v>104789.559377</v>
      </c>
      <c r="O193" s="10" t="n">
        <f aca="false">M193-N193</f>
        <v>77453.152583</v>
      </c>
      <c r="P193" s="10" t="n">
        <f aca="false">O193-I193</f>
        <v>6525.17176700001</v>
      </c>
      <c r="Q193" s="10" t="n">
        <f aca="false">(J193-D193)*(1-E193)*(1-F193)</f>
        <v>5579.182224</v>
      </c>
      <c r="R193" s="10" t="n">
        <f aca="false">J193*(E193-K193)*(1-F193)</f>
        <v>34.7759831999998</v>
      </c>
      <c r="S193" s="10" t="n">
        <f aca="false">M193*(F193-L193)</f>
        <v>911.213559800001</v>
      </c>
      <c r="T193" s="10" t="n">
        <f aca="false">ROUND(P193-(Q193+R193+S193),2)</f>
        <v>0</v>
      </c>
    </row>
    <row r="194" customFormat="false" ht="15" hidden="false" customHeight="true" outlineLevel="0" collapsed="false">
      <c r="A194" s="7" t="s">
        <v>41</v>
      </c>
      <c r="B194" s="7" t="s">
        <v>72</v>
      </c>
      <c r="C194" s="7" t="s">
        <v>68</v>
      </c>
      <c r="D194" s="8" t="n">
        <v>91701.44</v>
      </c>
      <c r="E194" s="9" t="n">
        <v>0.08</v>
      </c>
      <c r="F194" s="9" t="n">
        <v>0.55</v>
      </c>
      <c r="G194" s="10" t="n">
        <f aca="false">D194*(1-E194)</f>
        <v>84365.3248</v>
      </c>
      <c r="H194" s="10" t="n">
        <f aca="false">G194*F194</f>
        <v>46400.92864</v>
      </c>
      <c r="I194" s="10" t="n">
        <f aca="false">G194-H194</f>
        <v>37964.39616</v>
      </c>
      <c r="J194" s="8" t="n">
        <v>86150.02</v>
      </c>
      <c r="K194" s="9" t="n">
        <v>0.0651</v>
      </c>
      <c r="L194" s="9" t="n">
        <v>0.5554</v>
      </c>
      <c r="M194" s="10" t="n">
        <f aca="false">J194*(1-K194)</f>
        <v>80541.653698</v>
      </c>
      <c r="N194" s="10" t="n">
        <f aca="false">M194*L194</f>
        <v>44732.8344638692</v>
      </c>
      <c r="O194" s="10" t="n">
        <f aca="false">M194-N194</f>
        <v>35808.8192341308</v>
      </c>
      <c r="P194" s="10" t="n">
        <f aca="false">O194-I194</f>
        <v>-2155.5769258692</v>
      </c>
      <c r="Q194" s="10" t="n">
        <f aca="false">(J194-D194)*(1-E194)*(1-F194)</f>
        <v>-2298.28788</v>
      </c>
      <c r="R194" s="10" t="n">
        <f aca="false">J194*(E194-K194)*(1-F194)</f>
        <v>577.6358841</v>
      </c>
      <c r="S194" s="10" t="n">
        <f aca="false">M194*(F194-L194)</f>
        <v>-434.924929969197</v>
      </c>
      <c r="T194" s="10" t="n">
        <f aca="false">ROUND(P194-(Q194+R194+S194),2)</f>
        <v>0</v>
      </c>
    </row>
    <row r="195" customFormat="false" ht="15" hidden="false" customHeight="true" outlineLevel="0" collapsed="false">
      <c r="A195" s="7" t="s">
        <v>44</v>
      </c>
      <c r="B195" s="7" t="s">
        <v>72</v>
      </c>
      <c r="C195" s="7" t="s">
        <v>68</v>
      </c>
      <c r="D195" s="8" t="n">
        <v>90380.94</v>
      </c>
      <c r="E195" s="9" t="n">
        <v>0.08</v>
      </c>
      <c r="F195" s="9" t="n">
        <v>0.55</v>
      </c>
      <c r="G195" s="10" t="n">
        <f aca="false">D195*(1-E195)</f>
        <v>83150.4648</v>
      </c>
      <c r="H195" s="10" t="n">
        <f aca="false">G195*F195</f>
        <v>45732.75564</v>
      </c>
      <c r="I195" s="10" t="n">
        <f aca="false">G195-H195</f>
        <v>37417.70916</v>
      </c>
      <c r="J195" s="8" t="n">
        <v>94249.94</v>
      </c>
      <c r="K195" s="9" t="n">
        <v>0.0826</v>
      </c>
      <c r="L195" s="9" t="n">
        <v>0.5536</v>
      </c>
      <c r="M195" s="10" t="n">
        <f aca="false">J195*(1-K195)</f>
        <v>86464.894956</v>
      </c>
      <c r="N195" s="10" t="n">
        <f aca="false">M195*L195</f>
        <v>47866.9658476416</v>
      </c>
      <c r="O195" s="10" t="n">
        <f aca="false">M195-N195</f>
        <v>38597.9291083584</v>
      </c>
      <c r="P195" s="10" t="n">
        <f aca="false">O195-I195</f>
        <v>1180.2199483584</v>
      </c>
      <c r="Q195" s="10" t="n">
        <f aca="false">(J195-D195)*(1-E195)*(1-F195)</f>
        <v>1601.766</v>
      </c>
      <c r="R195" s="10" t="n">
        <f aca="false">J195*(E195-K195)*(1-F195)</f>
        <v>-110.2724298</v>
      </c>
      <c r="S195" s="10" t="n">
        <f aca="false">M195*(F195-L195)</f>
        <v>-311.273621841595</v>
      </c>
      <c r="T195" s="10" t="n">
        <f aca="false">ROUND(P195-(Q195+R195+S195),2)</f>
        <v>0</v>
      </c>
    </row>
    <row r="196" customFormat="false" ht="15" hidden="false" customHeight="true" outlineLevel="0" collapsed="false">
      <c r="A196" s="7" t="s">
        <v>45</v>
      </c>
      <c r="B196" s="7" t="s">
        <v>72</v>
      </c>
      <c r="C196" s="7" t="s">
        <v>68</v>
      </c>
      <c r="D196" s="8" t="n">
        <v>98344.7</v>
      </c>
      <c r="E196" s="9" t="n">
        <v>0.08</v>
      </c>
      <c r="F196" s="9" t="n">
        <v>0.55</v>
      </c>
      <c r="G196" s="10" t="n">
        <f aca="false">D196*(1-E196)</f>
        <v>90477.124</v>
      </c>
      <c r="H196" s="10" t="n">
        <f aca="false">G196*F196</f>
        <v>49762.4182</v>
      </c>
      <c r="I196" s="10" t="n">
        <f aca="false">G196-H196</f>
        <v>40714.7058</v>
      </c>
      <c r="J196" s="8" t="n">
        <v>95516.62</v>
      </c>
      <c r="K196" s="9" t="n">
        <v>0.0832</v>
      </c>
      <c r="L196" s="9" t="n">
        <v>0.5344</v>
      </c>
      <c r="M196" s="10" t="n">
        <f aca="false">J196*(1-K196)</f>
        <v>87569.637216</v>
      </c>
      <c r="N196" s="10" t="n">
        <f aca="false">M196*L196</f>
        <v>46797.2141282304</v>
      </c>
      <c r="O196" s="10" t="n">
        <f aca="false">M196-N196</f>
        <v>40772.4230877696</v>
      </c>
      <c r="P196" s="10" t="n">
        <f aca="false">O196-I196</f>
        <v>57.7172877696066</v>
      </c>
      <c r="Q196" s="10" t="n">
        <f aca="false">(J196-D196)*(1-E196)*(1-F196)</f>
        <v>-1170.82512</v>
      </c>
      <c r="R196" s="10" t="n">
        <f aca="false">J196*(E196-K196)*(1-F196)</f>
        <v>-137.5439328</v>
      </c>
      <c r="S196" s="10" t="n">
        <f aca="false">M196*(F196-L196)</f>
        <v>1366.08634056961</v>
      </c>
      <c r="T196" s="10" t="n">
        <f aca="false">ROUND(P196-(Q196+R196+S196),2)</f>
        <v>0</v>
      </c>
    </row>
    <row r="197" customFormat="false" ht="15" hidden="false" customHeight="true" outlineLevel="0" collapsed="false">
      <c r="A197" s="7" t="s">
        <v>46</v>
      </c>
      <c r="B197" s="7" t="s">
        <v>72</v>
      </c>
      <c r="C197" s="7" t="s">
        <v>68</v>
      </c>
      <c r="D197" s="8" t="n">
        <v>102249.14</v>
      </c>
      <c r="E197" s="9" t="n">
        <v>0.08</v>
      </c>
      <c r="F197" s="9" t="n">
        <v>0.55</v>
      </c>
      <c r="G197" s="10" t="n">
        <f aca="false">D197*(1-E197)</f>
        <v>94069.2088</v>
      </c>
      <c r="H197" s="10" t="n">
        <f aca="false">G197*F197</f>
        <v>51738.06484</v>
      </c>
      <c r="I197" s="10" t="n">
        <f aca="false">G197-H197</f>
        <v>42331.14396</v>
      </c>
      <c r="J197" s="8" t="n">
        <v>106082.77</v>
      </c>
      <c r="K197" s="9" t="n">
        <v>0.084</v>
      </c>
      <c r="L197" s="9" t="n">
        <v>0.555</v>
      </c>
      <c r="M197" s="10" t="n">
        <f aca="false">J197*(1-K197)</f>
        <v>97171.81732</v>
      </c>
      <c r="N197" s="10" t="n">
        <f aca="false">M197*L197</f>
        <v>53930.3586126</v>
      </c>
      <c r="O197" s="10" t="n">
        <f aca="false">M197-N197</f>
        <v>43241.4587074</v>
      </c>
      <c r="P197" s="10" t="n">
        <f aca="false">O197-I197</f>
        <v>910.314747399993</v>
      </c>
      <c r="Q197" s="10" t="n">
        <f aca="false">(J197-D197)*(1-E197)*(1-F197)</f>
        <v>1587.12282</v>
      </c>
      <c r="R197" s="10" t="n">
        <f aca="false">J197*(E197-K197)*(1-F197)</f>
        <v>-190.948986</v>
      </c>
      <c r="S197" s="10" t="n">
        <f aca="false">M197*(F197-L197)</f>
        <v>-485.8590866</v>
      </c>
      <c r="T197" s="10" t="n">
        <f aca="false">ROUND(P197-(Q197+R197+S197),2)</f>
        <v>-0</v>
      </c>
    </row>
    <row r="198" customFormat="false" ht="15" hidden="false" customHeight="true" outlineLevel="0" collapsed="false">
      <c r="A198" s="7" t="s">
        <v>47</v>
      </c>
      <c r="B198" s="7" t="s">
        <v>72</v>
      </c>
      <c r="C198" s="7" t="s">
        <v>68</v>
      </c>
      <c r="D198" s="8" t="n">
        <v>105150.98</v>
      </c>
      <c r="E198" s="9" t="n">
        <v>0.08</v>
      </c>
      <c r="F198" s="9" t="n">
        <v>0.55</v>
      </c>
      <c r="G198" s="10" t="n">
        <f aca="false">D198*(1-E198)</f>
        <v>96738.9016</v>
      </c>
      <c r="H198" s="10" t="n">
        <f aca="false">G198*F198</f>
        <v>53206.39588</v>
      </c>
      <c r="I198" s="10" t="n">
        <f aca="false">G198-H198</f>
        <v>43532.50572</v>
      </c>
      <c r="J198" s="8" t="n">
        <v>109005.14</v>
      </c>
      <c r="K198" s="9" t="n">
        <v>0.0799</v>
      </c>
      <c r="L198" s="9" t="n">
        <v>0.538</v>
      </c>
      <c r="M198" s="10" t="n">
        <f aca="false">J198*(1-K198)</f>
        <v>100295.629314</v>
      </c>
      <c r="N198" s="10" t="n">
        <f aca="false">M198*L198</f>
        <v>53959.048570932</v>
      </c>
      <c r="O198" s="10" t="n">
        <f aca="false">M198-N198</f>
        <v>46336.580743068</v>
      </c>
      <c r="P198" s="10" t="n">
        <f aca="false">O198-I198</f>
        <v>2804.07502306801</v>
      </c>
      <c r="Q198" s="10" t="n">
        <f aca="false">(J198-D198)*(1-E198)*(1-F198)</f>
        <v>1595.62224</v>
      </c>
      <c r="R198" s="10" t="n">
        <f aca="false">J198*(E198-K198)*(1-F198)</f>
        <v>4.90523130000014</v>
      </c>
      <c r="S198" s="10" t="n">
        <f aca="false">M198*(F198-L198)</f>
        <v>1203.547551768</v>
      </c>
      <c r="T198" s="10" t="n">
        <f aca="false">ROUND(P198-(Q198+R198+S198),2)</f>
        <v>0</v>
      </c>
    </row>
    <row r="199" customFormat="false" ht="15" hidden="false" customHeight="true" outlineLevel="0" collapsed="false">
      <c r="A199" s="7" t="s">
        <v>48</v>
      </c>
      <c r="B199" s="7" t="s">
        <v>72</v>
      </c>
      <c r="C199" s="7" t="s">
        <v>68</v>
      </c>
      <c r="D199" s="8" t="n">
        <v>108085.43</v>
      </c>
      <c r="E199" s="9" t="n">
        <v>0.08</v>
      </c>
      <c r="F199" s="9" t="n">
        <v>0.55</v>
      </c>
      <c r="G199" s="10" t="n">
        <f aca="false">D199*(1-E199)</f>
        <v>99438.5956</v>
      </c>
      <c r="H199" s="10" t="n">
        <f aca="false">G199*F199</f>
        <v>54691.22758</v>
      </c>
      <c r="I199" s="10" t="n">
        <f aca="false">G199-H199</f>
        <v>44747.36802</v>
      </c>
      <c r="J199" s="8" t="n">
        <v>109244.76</v>
      </c>
      <c r="K199" s="9" t="n">
        <v>0.0769</v>
      </c>
      <c r="L199" s="9" t="n">
        <v>0.563</v>
      </c>
      <c r="M199" s="10" t="n">
        <f aca="false">J199*(1-K199)</f>
        <v>100843.837956</v>
      </c>
      <c r="N199" s="10" t="n">
        <f aca="false">M199*L199</f>
        <v>56775.080769228</v>
      </c>
      <c r="O199" s="10" t="n">
        <f aca="false">M199-N199</f>
        <v>44068.757186772</v>
      </c>
      <c r="P199" s="10" t="n">
        <f aca="false">O199-I199</f>
        <v>-678.610833227991</v>
      </c>
      <c r="Q199" s="10" t="n">
        <f aca="false">(J199-D199)*(1-E199)*(1-F199)</f>
        <v>479.962620000001</v>
      </c>
      <c r="R199" s="10" t="n">
        <f aca="false">J199*(E199-K199)*(1-F199)</f>
        <v>152.3964402</v>
      </c>
      <c r="S199" s="10" t="n">
        <f aca="false">M199*(F199-L199)</f>
        <v>-1310.96989342799</v>
      </c>
      <c r="T199" s="10" t="n">
        <f aca="false">ROUND(P199-(Q199+R199+S199),2)</f>
        <v>0</v>
      </c>
    </row>
    <row r="200" customFormat="false" ht="15" hidden="false" customHeight="true" outlineLevel="0" collapsed="false">
      <c r="A200" s="7" t="s">
        <v>49</v>
      </c>
      <c r="B200" s="7" t="s">
        <v>72</v>
      </c>
      <c r="C200" s="7" t="s">
        <v>68</v>
      </c>
      <c r="D200" s="8" t="n">
        <v>106781.23</v>
      </c>
      <c r="E200" s="9" t="n">
        <v>0.08</v>
      </c>
      <c r="F200" s="9" t="n">
        <v>0.55</v>
      </c>
      <c r="G200" s="10" t="n">
        <f aca="false">D200*(1-E200)</f>
        <v>98238.7316</v>
      </c>
      <c r="H200" s="10" t="n">
        <f aca="false">G200*F200</f>
        <v>54031.30238</v>
      </c>
      <c r="I200" s="10" t="n">
        <f aca="false">G200-H200</f>
        <v>44207.42922</v>
      </c>
      <c r="J200" s="8" t="n">
        <v>108580.94</v>
      </c>
      <c r="K200" s="9" t="n">
        <v>0.0809</v>
      </c>
      <c r="L200" s="9" t="n">
        <v>0.5398</v>
      </c>
      <c r="M200" s="10" t="n">
        <f aca="false">J200*(1-K200)</f>
        <v>99796.741954</v>
      </c>
      <c r="N200" s="10" t="n">
        <f aca="false">M200*L200</f>
        <v>53870.2813067692</v>
      </c>
      <c r="O200" s="10" t="n">
        <f aca="false">M200-N200</f>
        <v>45926.4606472308</v>
      </c>
      <c r="P200" s="10" t="n">
        <f aca="false">O200-I200</f>
        <v>1719.03142723081</v>
      </c>
      <c r="Q200" s="10" t="n">
        <f aca="false">(J200-D200)*(1-E200)*(1-F200)</f>
        <v>745.079940000003</v>
      </c>
      <c r="R200" s="10" t="n">
        <f aca="false">J200*(E200-K200)*(1-F200)</f>
        <v>-43.9752806999999</v>
      </c>
      <c r="S200" s="10" t="n">
        <f aca="false">M200*(F200-L200)</f>
        <v>1017.92676793081</v>
      </c>
      <c r="T200" s="10" t="n">
        <f aca="false">ROUND(P200-(Q200+R200+S200),2)</f>
        <v>0</v>
      </c>
    </row>
    <row r="201" customFormat="false" ht="15" hidden="false" customHeight="true" outlineLevel="0" collapsed="false">
      <c r="A201" s="7" t="s">
        <v>50</v>
      </c>
      <c r="B201" s="7" t="s">
        <v>72</v>
      </c>
      <c r="C201" s="7" t="s">
        <v>68</v>
      </c>
      <c r="D201" s="8" t="n">
        <v>110824.24</v>
      </c>
      <c r="E201" s="9" t="n">
        <v>0.08</v>
      </c>
      <c r="F201" s="9" t="n">
        <v>0.55</v>
      </c>
      <c r="G201" s="10" t="n">
        <f aca="false">D201*(1-E201)</f>
        <v>101958.3008</v>
      </c>
      <c r="H201" s="10" t="n">
        <f aca="false">G201*F201</f>
        <v>56077.06544</v>
      </c>
      <c r="I201" s="10" t="n">
        <f aca="false">G201-H201</f>
        <v>45881.23536</v>
      </c>
      <c r="J201" s="8" t="n">
        <v>100462.56</v>
      </c>
      <c r="K201" s="9" t="n">
        <v>0.0819</v>
      </c>
      <c r="L201" s="9" t="n">
        <v>0.5444</v>
      </c>
      <c r="M201" s="10" t="n">
        <f aca="false">J201*(1-K201)</f>
        <v>92234.676336</v>
      </c>
      <c r="N201" s="10" t="n">
        <f aca="false">M201*L201</f>
        <v>50212.5577973184</v>
      </c>
      <c r="O201" s="10" t="n">
        <f aca="false">M201-N201</f>
        <v>42022.1185386816</v>
      </c>
      <c r="P201" s="10" t="n">
        <f aca="false">O201-I201</f>
        <v>-3859.1168213184</v>
      </c>
      <c r="Q201" s="10" t="n">
        <f aca="false">(J201-D201)*(1-E201)*(1-F201)</f>
        <v>-4289.73552</v>
      </c>
      <c r="R201" s="10" t="n">
        <f aca="false">J201*(E201-K201)*(1-F201)</f>
        <v>-85.8954887999999</v>
      </c>
      <c r="S201" s="10" t="n">
        <f aca="false">M201*(F201-L201)</f>
        <v>516.514187481605</v>
      </c>
      <c r="T201" s="10" t="n">
        <f aca="false">ROUND(P201-(Q201+R201+S201),2)</f>
        <v>0</v>
      </c>
    </row>
    <row r="202" customFormat="false" ht="15" hidden="false" customHeight="true" outlineLevel="0" collapsed="false">
      <c r="A202" s="7" t="s">
        <v>51</v>
      </c>
      <c r="B202" s="7" t="s">
        <v>72</v>
      </c>
      <c r="C202" s="7" t="s">
        <v>68</v>
      </c>
      <c r="D202" s="8" t="n">
        <v>113832.05</v>
      </c>
      <c r="E202" s="9" t="n">
        <v>0.08</v>
      </c>
      <c r="F202" s="9" t="n">
        <v>0.55</v>
      </c>
      <c r="G202" s="10" t="n">
        <f aca="false">D202*(1-E202)</f>
        <v>104725.486</v>
      </c>
      <c r="H202" s="10" t="n">
        <f aca="false">G202*F202</f>
        <v>57599.0173</v>
      </c>
      <c r="I202" s="10" t="n">
        <f aca="false">G202-H202</f>
        <v>47126.4687</v>
      </c>
      <c r="J202" s="8" t="n">
        <v>117934.65</v>
      </c>
      <c r="K202" s="9" t="n">
        <v>0.0887</v>
      </c>
      <c r="L202" s="9" t="n">
        <v>0.543</v>
      </c>
      <c r="M202" s="10" t="n">
        <f aca="false">J202*(1-K202)</f>
        <v>107473.846545</v>
      </c>
      <c r="N202" s="10" t="n">
        <f aca="false">M202*L202</f>
        <v>58358.298673935</v>
      </c>
      <c r="O202" s="10" t="n">
        <f aca="false">M202-N202</f>
        <v>49115.547871065</v>
      </c>
      <c r="P202" s="10" t="n">
        <f aca="false">O202-I202</f>
        <v>1989.07917106499</v>
      </c>
      <c r="Q202" s="10" t="n">
        <f aca="false">(J202-D202)*(1-E202)*(1-F202)</f>
        <v>1698.4764</v>
      </c>
      <c r="R202" s="10" t="n">
        <f aca="false">J202*(E202-K202)*(1-F202)</f>
        <v>-461.71415475</v>
      </c>
      <c r="S202" s="10" t="n">
        <f aca="false">M202*(F202-L202)</f>
        <v>752.316925815001</v>
      </c>
      <c r="T202" s="10" t="n">
        <f aca="false">ROUND(P202-(Q202+R202+S202),2)</f>
        <v>0</v>
      </c>
    </row>
    <row r="203" customFormat="false" ht="15" hidden="false" customHeight="true" outlineLevel="0" collapsed="false">
      <c r="A203" s="7" t="s">
        <v>52</v>
      </c>
      <c r="B203" s="7" t="s">
        <v>72</v>
      </c>
      <c r="C203" s="7" t="s">
        <v>68</v>
      </c>
      <c r="D203" s="8" t="n">
        <v>120149.26</v>
      </c>
      <c r="E203" s="9" t="n">
        <v>0.08</v>
      </c>
      <c r="F203" s="9" t="n">
        <v>0.55</v>
      </c>
      <c r="G203" s="10" t="n">
        <f aca="false">D203*(1-E203)</f>
        <v>110537.3192</v>
      </c>
      <c r="H203" s="10" t="n">
        <f aca="false">G203*F203</f>
        <v>60795.52556</v>
      </c>
      <c r="I203" s="10" t="n">
        <f aca="false">G203-H203</f>
        <v>49741.79364</v>
      </c>
      <c r="J203" s="8" t="n">
        <v>127695.98</v>
      </c>
      <c r="K203" s="9" t="n">
        <v>0.076</v>
      </c>
      <c r="L203" s="9" t="n">
        <v>0.5446</v>
      </c>
      <c r="M203" s="10" t="n">
        <f aca="false">J203*(1-K203)</f>
        <v>117991.08552</v>
      </c>
      <c r="N203" s="10" t="n">
        <f aca="false">M203*L203</f>
        <v>64257.945174192</v>
      </c>
      <c r="O203" s="10" t="n">
        <f aca="false">M203-N203</f>
        <v>53733.140345808</v>
      </c>
      <c r="P203" s="10" t="n">
        <f aca="false">O203-I203</f>
        <v>3991.34670580801</v>
      </c>
      <c r="Q203" s="10" t="n">
        <f aca="false">(J203-D203)*(1-E203)*(1-F203)</f>
        <v>3124.34208</v>
      </c>
      <c r="R203" s="10" t="n">
        <f aca="false">J203*(E203-K203)*(1-F203)</f>
        <v>229.852764</v>
      </c>
      <c r="S203" s="10" t="n">
        <f aca="false">M203*(F203-L203)</f>
        <v>637.151861808008</v>
      </c>
      <c r="T203" s="10" t="n">
        <f aca="false">ROUND(P203-(Q203+R203+S203),2)</f>
        <v>0</v>
      </c>
    </row>
    <row r="204" customFormat="false" ht="15" hidden="false" customHeight="true" outlineLevel="0" collapsed="false">
      <c r="A204" s="7" t="s">
        <v>53</v>
      </c>
      <c r="B204" s="7" t="s">
        <v>72</v>
      </c>
      <c r="C204" s="7" t="s">
        <v>68</v>
      </c>
      <c r="D204" s="8" t="n">
        <v>143054.24</v>
      </c>
      <c r="E204" s="9" t="n">
        <v>0.08</v>
      </c>
      <c r="F204" s="9" t="n">
        <v>0.55</v>
      </c>
      <c r="G204" s="10" t="n">
        <f aca="false">D204*(1-E204)</f>
        <v>131609.9008</v>
      </c>
      <c r="H204" s="10" t="n">
        <f aca="false">G204*F204</f>
        <v>72385.44544</v>
      </c>
      <c r="I204" s="10" t="n">
        <f aca="false">G204-H204</f>
        <v>59224.45536</v>
      </c>
      <c r="J204" s="8" t="n">
        <v>142329.17</v>
      </c>
      <c r="K204" s="9" t="n">
        <v>0.08</v>
      </c>
      <c r="L204" s="9" t="n">
        <v>0.5515</v>
      </c>
      <c r="M204" s="10" t="n">
        <f aca="false">J204*(1-K204)</f>
        <v>130942.8364</v>
      </c>
      <c r="N204" s="10" t="n">
        <f aca="false">M204*L204</f>
        <v>72214.9742746</v>
      </c>
      <c r="O204" s="10" t="n">
        <f aca="false">M204-N204</f>
        <v>58727.8621254</v>
      </c>
      <c r="P204" s="10" t="n">
        <f aca="false">O204-I204</f>
        <v>-496.59323459999</v>
      </c>
      <c r="Q204" s="10" t="n">
        <f aca="false">(J204-D204)*(1-E204)*(1-F204)</f>
        <v>-300.178979999991</v>
      </c>
      <c r="R204" s="10" t="n">
        <f aca="false">J204*(E204-K204)*(1-F204)</f>
        <v>0</v>
      </c>
      <c r="S204" s="10" t="n">
        <f aca="false">M204*(F204-L204)</f>
        <v>-196.414254599993</v>
      </c>
      <c r="T204" s="10" t="n">
        <f aca="false">ROUND(P204-(Q204+R204+S204),2)</f>
        <v>-0</v>
      </c>
    </row>
    <row r="205" customFormat="false" ht="15" hidden="false" customHeight="true" outlineLevel="0" collapsed="false">
      <c r="A205" s="7" t="s">
        <v>54</v>
      </c>
      <c r="B205" s="7" t="s">
        <v>72</v>
      </c>
      <c r="C205" s="7" t="s">
        <v>68</v>
      </c>
      <c r="D205" s="8" t="n">
        <v>135245.36</v>
      </c>
      <c r="E205" s="9" t="n">
        <v>0.08</v>
      </c>
      <c r="F205" s="9" t="n">
        <v>0.55</v>
      </c>
      <c r="G205" s="10" t="n">
        <f aca="false">D205*(1-E205)</f>
        <v>124425.7312</v>
      </c>
      <c r="H205" s="10" t="n">
        <f aca="false">G205*F205</f>
        <v>68434.15216</v>
      </c>
      <c r="I205" s="10" t="n">
        <f aca="false">G205-H205</f>
        <v>55991.57904</v>
      </c>
      <c r="J205" s="8" t="n">
        <v>140958.76</v>
      </c>
      <c r="K205" s="9" t="n">
        <v>0.0823</v>
      </c>
      <c r="L205" s="9" t="n">
        <v>0.5362</v>
      </c>
      <c r="M205" s="10" t="n">
        <f aca="false">J205*(1-K205)</f>
        <v>129357.854052</v>
      </c>
      <c r="N205" s="10" t="n">
        <f aca="false">M205*L205</f>
        <v>69361.6813426824</v>
      </c>
      <c r="O205" s="10" t="n">
        <f aca="false">M205-N205</f>
        <v>59996.1727093176</v>
      </c>
      <c r="P205" s="10" t="n">
        <f aca="false">O205-I205</f>
        <v>4004.5936693176</v>
      </c>
      <c r="Q205" s="10" t="n">
        <f aca="false">(J205-D205)*(1-E205)*(1-F205)</f>
        <v>2365.34760000001</v>
      </c>
      <c r="R205" s="10" t="n">
        <f aca="false">J205*(E205-K205)*(1-F205)</f>
        <v>-145.8923166</v>
      </c>
      <c r="S205" s="10" t="n">
        <f aca="false">M205*(F205-L205)</f>
        <v>1785.1383859176</v>
      </c>
      <c r="T205" s="10" t="n">
        <f aca="false">ROUND(P205-(Q205+R205+S205),2)</f>
        <v>0</v>
      </c>
    </row>
    <row r="206" customFormat="false" ht="15" hidden="false" customHeight="true" outlineLevel="0" collapsed="false">
      <c r="A206" s="7" t="s">
        <v>55</v>
      </c>
      <c r="B206" s="7" t="s">
        <v>72</v>
      </c>
      <c r="C206" s="7" t="s">
        <v>68</v>
      </c>
      <c r="D206" s="8" t="n">
        <v>100504.78</v>
      </c>
      <c r="E206" s="9" t="n">
        <v>0.08</v>
      </c>
      <c r="F206" s="9" t="n">
        <v>0.55</v>
      </c>
      <c r="G206" s="10" t="n">
        <f aca="false">D206*(1-E206)</f>
        <v>92464.3976</v>
      </c>
      <c r="H206" s="10" t="n">
        <f aca="false">G206*F206</f>
        <v>50855.41868</v>
      </c>
      <c r="I206" s="10" t="n">
        <f aca="false">G206-H206</f>
        <v>41608.97892</v>
      </c>
      <c r="J206" s="8" t="n">
        <v>104506.92</v>
      </c>
      <c r="K206" s="9" t="n">
        <v>0.0867</v>
      </c>
      <c r="L206" s="9" t="n">
        <v>0.5488</v>
      </c>
      <c r="M206" s="10" t="n">
        <f aca="false">J206*(1-K206)</f>
        <v>95446.170036</v>
      </c>
      <c r="N206" s="10" t="n">
        <f aca="false">M206*L206</f>
        <v>52380.8581157568</v>
      </c>
      <c r="O206" s="10" t="n">
        <f aca="false">M206-N206</f>
        <v>43065.3119202432</v>
      </c>
      <c r="P206" s="10" t="n">
        <f aca="false">O206-I206</f>
        <v>1456.3330002432</v>
      </c>
      <c r="Q206" s="10" t="n">
        <f aca="false">(J206-D206)*(1-E206)*(1-F206)</f>
        <v>1656.88596</v>
      </c>
      <c r="R206" s="10" t="n">
        <f aca="false">J206*(E206-K206)*(1-F206)</f>
        <v>-315.0883638</v>
      </c>
      <c r="S206" s="10" t="n">
        <f aca="false">M206*(F206-L206)</f>
        <v>114.535404043209</v>
      </c>
      <c r="T206" s="10" t="n">
        <f aca="false">ROUND(P206-(Q206+R206+S206),2)</f>
        <v>0</v>
      </c>
    </row>
    <row r="207" customFormat="false" ht="15" hidden="false" customHeight="true" outlineLevel="0" collapsed="false">
      <c r="A207" s="7" t="s">
        <v>56</v>
      </c>
      <c r="B207" s="7" t="s">
        <v>72</v>
      </c>
      <c r="C207" s="7" t="s">
        <v>68</v>
      </c>
      <c r="D207" s="8" t="n">
        <v>98988.65</v>
      </c>
      <c r="E207" s="9" t="n">
        <v>0.08</v>
      </c>
      <c r="F207" s="9" t="n">
        <v>0.55</v>
      </c>
      <c r="G207" s="10" t="n">
        <f aca="false">D207*(1-E207)</f>
        <v>91069.558</v>
      </c>
      <c r="H207" s="10" t="n">
        <f aca="false">G207*F207</f>
        <v>50088.2569</v>
      </c>
      <c r="I207" s="10" t="n">
        <f aca="false">G207-H207</f>
        <v>40981.3011</v>
      </c>
      <c r="J207" s="8" t="n">
        <v>105203.82</v>
      </c>
      <c r="K207" s="9" t="n">
        <v>0.0745</v>
      </c>
      <c r="L207" s="9" t="n">
        <v>0.5623</v>
      </c>
      <c r="M207" s="10" t="n">
        <f aca="false">J207*(1-K207)</f>
        <v>97366.13541</v>
      </c>
      <c r="N207" s="10" t="n">
        <f aca="false">M207*L207</f>
        <v>54748.977941043</v>
      </c>
      <c r="O207" s="10" t="n">
        <f aca="false">M207-N207</f>
        <v>42617.157468957</v>
      </c>
      <c r="P207" s="10" t="n">
        <f aca="false">O207-I207</f>
        <v>1635.856368957</v>
      </c>
      <c r="Q207" s="10" t="n">
        <f aca="false">(J207-D207)*(1-E207)*(1-F207)</f>
        <v>2573.08038000001</v>
      </c>
      <c r="R207" s="10" t="n">
        <f aca="false">J207*(E207-K207)*(1-F207)</f>
        <v>260.3794545</v>
      </c>
      <c r="S207" s="10" t="n">
        <f aca="false">M207*(F207-L207)</f>
        <v>-1197.603465543</v>
      </c>
      <c r="T207" s="10" t="n">
        <f aca="false">ROUND(P207-(Q207+R207+S207),2)</f>
        <v>-0</v>
      </c>
    </row>
    <row r="208" customFormat="false" ht="15" hidden="false" customHeight="true" outlineLevel="0" collapsed="false">
      <c r="A208" s="7" t="s">
        <v>57</v>
      </c>
      <c r="B208" s="7" t="s">
        <v>72</v>
      </c>
      <c r="C208" s="7" t="s">
        <v>68</v>
      </c>
      <c r="D208" s="8" t="n">
        <v>107637.11</v>
      </c>
      <c r="E208" s="9" t="n">
        <v>0.08</v>
      </c>
      <c r="F208" s="9" t="n">
        <v>0.55</v>
      </c>
      <c r="G208" s="10" t="n">
        <f aca="false">D208*(1-E208)</f>
        <v>99026.1412</v>
      </c>
      <c r="H208" s="10" t="n">
        <f aca="false">G208*F208</f>
        <v>54464.37766</v>
      </c>
      <c r="I208" s="10" t="n">
        <f aca="false">G208-H208</f>
        <v>44561.76354</v>
      </c>
      <c r="J208" s="8" t="n">
        <v>103457.46</v>
      </c>
      <c r="K208" s="9" t="n">
        <v>0.084</v>
      </c>
      <c r="L208" s="9" t="n">
        <v>0.5295</v>
      </c>
      <c r="M208" s="10" t="n">
        <f aca="false">J208*(1-K208)</f>
        <v>94767.03336</v>
      </c>
      <c r="N208" s="10" t="n">
        <f aca="false">M208*L208</f>
        <v>50179.14416412</v>
      </c>
      <c r="O208" s="10" t="n">
        <f aca="false">M208-N208</f>
        <v>44587.88919588</v>
      </c>
      <c r="P208" s="10" t="n">
        <f aca="false">O208-I208</f>
        <v>26.125655880016</v>
      </c>
      <c r="Q208" s="10" t="n">
        <f aca="false">(J208-D208)*(1-E208)*(1-F208)</f>
        <v>-1730.3751</v>
      </c>
      <c r="R208" s="10" t="n">
        <f aca="false">J208*(E208-K208)*(1-F208)</f>
        <v>-186.223428</v>
      </c>
      <c r="S208" s="10" t="n">
        <f aca="false">M208*(F208-L208)</f>
        <v>1942.72418388001</v>
      </c>
      <c r="T208" s="10" t="n">
        <f aca="false">ROUND(P208-(Q208+R208+S208),2)</f>
        <v>0</v>
      </c>
    </row>
    <row r="209" customFormat="false" ht="15" hidden="false" customHeight="true" outlineLevel="0" collapsed="false">
      <c r="A209" s="7" t="s">
        <v>58</v>
      </c>
      <c r="B209" s="7" t="s">
        <v>72</v>
      </c>
      <c r="C209" s="7" t="s">
        <v>68</v>
      </c>
      <c r="D209" s="8" t="n">
        <v>111835</v>
      </c>
      <c r="E209" s="9" t="n">
        <v>0.08</v>
      </c>
      <c r="F209" s="9" t="n">
        <v>0.55</v>
      </c>
      <c r="G209" s="10" t="n">
        <f aca="false">D209*(1-E209)</f>
        <v>102888.2</v>
      </c>
      <c r="H209" s="10" t="n">
        <f aca="false">G209*F209</f>
        <v>56588.51</v>
      </c>
      <c r="I209" s="10" t="n">
        <f aca="false">G209-H209</f>
        <v>46299.69</v>
      </c>
      <c r="J209" s="8" t="n">
        <v>108944.37</v>
      </c>
      <c r="K209" s="9" t="n">
        <v>0.0728</v>
      </c>
      <c r="L209" s="9" t="n">
        <v>0.5489</v>
      </c>
      <c r="M209" s="10" t="n">
        <f aca="false">J209*(1-K209)</f>
        <v>101013.219864</v>
      </c>
      <c r="N209" s="10" t="n">
        <f aca="false">M209*L209</f>
        <v>55446.1563833496</v>
      </c>
      <c r="O209" s="10" t="n">
        <f aca="false">M209-N209</f>
        <v>45567.0634806504</v>
      </c>
      <c r="P209" s="10" t="n">
        <f aca="false">O209-I209</f>
        <v>-732.626519349607</v>
      </c>
      <c r="Q209" s="10" t="n">
        <f aca="false">(J209-D209)*(1-E209)*(1-F209)</f>
        <v>-1196.72082</v>
      </c>
      <c r="R209" s="10" t="n">
        <f aca="false">J209*(E209-K209)*(1-F209)</f>
        <v>352.9797588</v>
      </c>
      <c r="S209" s="10" t="n">
        <f aca="false">M209*(F209-L209)</f>
        <v>111.114541850399</v>
      </c>
      <c r="T209" s="10" t="n">
        <f aca="false">ROUND(P209-(Q209+R209+S209),2)</f>
        <v>-0</v>
      </c>
    </row>
    <row r="210" customFormat="false" ht="15" hidden="false" customHeight="true" outlineLevel="0" collapsed="false">
      <c r="A210" s="7" t="s">
        <v>59</v>
      </c>
      <c r="B210" s="7" t="s">
        <v>72</v>
      </c>
      <c r="C210" s="7" t="s">
        <v>68</v>
      </c>
      <c r="D210" s="8" t="n">
        <v>114932.47</v>
      </c>
      <c r="E210" s="9" t="n">
        <v>0.08</v>
      </c>
      <c r="F210" s="9" t="n">
        <v>0.55</v>
      </c>
      <c r="G210" s="10" t="n">
        <f aca="false">D210*(1-E210)</f>
        <v>105737.8724</v>
      </c>
      <c r="H210" s="10" t="n">
        <f aca="false">G210*F210</f>
        <v>58155.82982</v>
      </c>
      <c r="I210" s="10" t="n">
        <f aca="false">G210-H210</f>
        <v>47582.04258</v>
      </c>
      <c r="J210" s="8" t="n">
        <v>119582.38</v>
      </c>
      <c r="K210" s="9" t="n">
        <v>0.071</v>
      </c>
      <c r="L210" s="9" t="n">
        <v>0.5646</v>
      </c>
      <c r="M210" s="10" t="n">
        <f aca="false">J210*(1-K210)</f>
        <v>111092.03102</v>
      </c>
      <c r="N210" s="10" t="n">
        <f aca="false">M210*L210</f>
        <v>62722.560713892</v>
      </c>
      <c r="O210" s="10" t="n">
        <f aca="false">M210-N210</f>
        <v>48369.470306108</v>
      </c>
      <c r="P210" s="10" t="n">
        <f aca="false">O210-I210</f>
        <v>787.427726108006</v>
      </c>
      <c r="Q210" s="10" t="n">
        <f aca="false">(J210-D210)*(1-E210)*(1-F210)</f>
        <v>1925.06274</v>
      </c>
      <c r="R210" s="10" t="n">
        <f aca="false">J210*(E210-K210)*(1-F210)</f>
        <v>484.308639</v>
      </c>
      <c r="S210" s="10" t="n">
        <f aca="false">M210*(F210-L210)</f>
        <v>-1621.94365289199</v>
      </c>
      <c r="T210" s="10" t="n">
        <f aca="false">ROUND(P210-(Q210+R210+S210),2)</f>
        <v>0</v>
      </c>
    </row>
    <row r="211" customFormat="false" ht="15" hidden="false" customHeight="true" outlineLevel="0" collapsed="false">
      <c r="A211" s="7" t="s">
        <v>60</v>
      </c>
      <c r="B211" s="7" t="s">
        <v>72</v>
      </c>
      <c r="C211" s="7" t="s">
        <v>68</v>
      </c>
      <c r="D211" s="8" t="n">
        <v>118062.55</v>
      </c>
      <c r="E211" s="9" t="n">
        <v>0.08</v>
      </c>
      <c r="F211" s="9" t="n">
        <v>0.55</v>
      </c>
      <c r="G211" s="10" t="n">
        <f aca="false">D211*(1-E211)</f>
        <v>108617.546</v>
      </c>
      <c r="H211" s="10" t="n">
        <f aca="false">G211*F211</f>
        <v>59739.6503</v>
      </c>
      <c r="I211" s="10" t="n">
        <f aca="false">G211-H211</f>
        <v>48877.8957</v>
      </c>
      <c r="J211" s="8" t="n">
        <v>122634.8</v>
      </c>
      <c r="K211" s="9" t="n">
        <v>0.0753</v>
      </c>
      <c r="L211" s="9" t="n">
        <v>0.5547</v>
      </c>
      <c r="M211" s="10" t="n">
        <f aca="false">J211*(1-K211)</f>
        <v>113400.39956</v>
      </c>
      <c r="N211" s="10" t="n">
        <f aca="false">M211*L211</f>
        <v>62903.201635932</v>
      </c>
      <c r="O211" s="10" t="n">
        <f aca="false">M211-N211</f>
        <v>50497.197924068</v>
      </c>
      <c r="P211" s="10" t="n">
        <f aca="false">O211-I211</f>
        <v>1619.30222406801</v>
      </c>
      <c r="Q211" s="10" t="n">
        <f aca="false">(J211-D211)*(1-E211)*(1-F211)</f>
        <v>1892.9115</v>
      </c>
      <c r="R211" s="10" t="n">
        <f aca="false">J211*(E211-K211)*(1-F211)</f>
        <v>259.372602</v>
      </c>
      <c r="S211" s="10" t="n">
        <f aca="false">M211*(F211-L211)</f>
        <v>-532.981877931992</v>
      </c>
      <c r="T211" s="10" t="n">
        <f aca="false">ROUND(P211-(Q211+R211+S211),2)</f>
        <v>0</v>
      </c>
    </row>
    <row r="212" customFormat="false" ht="15" hidden="false" customHeight="true" outlineLevel="0" collapsed="false">
      <c r="A212" s="7" t="s">
        <v>61</v>
      </c>
      <c r="B212" s="7" t="s">
        <v>72</v>
      </c>
      <c r="C212" s="7" t="s">
        <v>68</v>
      </c>
      <c r="D212" s="8" t="n">
        <v>116562.72</v>
      </c>
      <c r="E212" s="9" t="n">
        <v>0.08</v>
      </c>
      <c r="F212" s="9" t="n">
        <v>0.55</v>
      </c>
      <c r="G212" s="10" t="n">
        <f aca="false">D212*(1-E212)</f>
        <v>107237.7024</v>
      </c>
      <c r="H212" s="10" t="n">
        <f aca="false">G212*F212</f>
        <v>58980.73632</v>
      </c>
      <c r="I212" s="10" t="n">
        <f aca="false">G212-H212</f>
        <v>48256.96608</v>
      </c>
      <c r="J212" s="8" t="n">
        <v>124950.87</v>
      </c>
      <c r="K212" s="9" t="n">
        <v>0.075</v>
      </c>
      <c r="L212" s="9" t="n">
        <v>0.5445</v>
      </c>
      <c r="M212" s="10" t="n">
        <f aca="false">J212*(1-K212)</f>
        <v>115579.55475</v>
      </c>
      <c r="N212" s="10" t="n">
        <f aca="false">M212*L212</f>
        <v>62933.067561375</v>
      </c>
      <c r="O212" s="10" t="n">
        <f aca="false">M212-N212</f>
        <v>52646.487188625</v>
      </c>
      <c r="P212" s="10" t="n">
        <f aca="false">O212-I212</f>
        <v>4389.521108625</v>
      </c>
      <c r="Q212" s="10" t="n">
        <f aca="false">(J212-D212)*(1-E212)*(1-F212)</f>
        <v>3472.6941</v>
      </c>
      <c r="R212" s="10" t="n">
        <f aca="false">J212*(E212-K212)*(1-F212)</f>
        <v>281.1394575</v>
      </c>
      <c r="S212" s="10" t="n">
        <f aca="false">M212*(F212-L212)</f>
        <v>635.687551125007</v>
      </c>
      <c r="T212" s="10" t="n">
        <f aca="false">ROUND(P212-(Q212+R212+S212),2)</f>
        <v>0</v>
      </c>
    </row>
    <row r="213" customFormat="false" ht="15" hidden="false" customHeight="true" outlineLevel="0" collapsed="false">
      <c r="A213" s="7" t="s">
        <v>62</v>
      </c>
      <c r="B213" s="7" t="s">
        <v>72</v>
      </c>
      <c r="C213" s="7" t="s">
        <v>68</v>
      </c>
      <c r="D213" s="8" t="n">
        <v>120899.18</v>
      </c>
      <c r="E213" s="9" t="n">
        <v>0.08</v>
      </c>
      <c r="F213" s="9" t="n">
        <v>0.55</v>
      </c>
      <c r="G213" s="10" t="n">
        <f aca="false">D213*(1-E213)</f>
        <v>111227.2456</v>
      </c>
      <c r="H213" s="10" t="n">
        <f aca="false">G213*F213</f>
        <v>61174.98508</v>
      </c>
      <c r="I213" s="10" t="n">
        <f aca="false">G213-H213</f>
        <v>50052.26052</v>
      </c>
      <c r="J213" s="8" t="n">
        <v>119487.36</v>
      </c>
      <c r="K213" s="9" t="n">
        <v>0.0742</v>
      </c>
      <c r="L213" s="9" t="n">
        <v>0.5561</v>
      </c>
      <c r="M213" s="10" t="n">
        <f aca="false">J213*(1-K213)</f>
        <v>110621.397888</v>
      </c>
      <c r="N213" s="10" t="n">
        <f aca="false">M213*L213</f>
        <v>61516.5593655168</v>
      </c>
      <c r="O213" s="10" t="n">
        <f aca="false">M213-N213</f>
        <v>49104.8385224832</v>
      </c>
      <c r="P213" s="10" t="n">
        <f aca="false">O213-I213</f>
        <v>-947.421997516802</v>
      </c>
      <c r="Q213" s="10" t="n">
        <f aca="false">(J213-D213)*(1-E213)*(1-F213)</f>
        <v>-584.493479999997</v>
      </c>
      <c r="R213" s="10" t="n">
        <f aca="false">J213*(E213-K213)*(1-F213)</f>
        <v>311.8620096</v>
      </c>
      <c r="S213" s="10" t="n">
        <f aca="false">M213*(F213-L213)</f>
        <v>-674.790527116799</v>
      </c>
      <c r="T213" s="10" t="n">
        <f aca="false">ROUND(P213-(Q213+R213+S213),2)</f>
        <v>-0</v>
      </c>
    </row>
    <row r="214" customFormat="false" ht="15" hidden="false" customHeight="true" outlineLevel="0" collapsed="false">
      <c r="A214" s="7" t="s">
        <v>63</v>
      </c>
      <c r="B214" s="7" t="s">
        <v>72</v>
      </c>
      <c r="C214" s="7" t="s">
        <v>68</v>
      </c>
      <c r="D214" s="8" t="n">
        <v>124102.61</v>
      </c>
      <c r="E214" s="9" t="n">
        <v>0.08</v>
      </c>
      <c r="F214" s="9" t="n">
        <v>0.55</v>
      </c>
      <c r="G214" s="10" t="n">
        <f aca="false">D214*(1-E214)</f>
        <v>114174.4012</v>
      </c>
      <c r="H214" s="10" t="n">
        <f aca="false">G214*F214</f>
        <v>62795.92066</v>
      </c>
      <c r="I214" s="10" t="n">
        <f aca="false">G214-H214</f>
        <v>51378.48054</v>
      </c>
      <c r="J214" s="8" t="n">
        <v>124283.89</v>
      </c>
      <c r="K214" s="9" t="n">
        <v>0.082</v>
      </c>
      <c r="L214" s="9" t="n">
        <v>0.5435</v>
      </c>
      <c r="M214" s="10" t="n">
        <f aca="false">J214*(1-K214)</f>
        <v>114092.61102</v>
      </c>
      <c r="N214" s="10" t="n">
        <f aca="false">M214*L214</f>
        <v>62009.33408937</v>
      </c>
      <c r="O214" s="10" t="n">
        <f aca="false">M214-N214</f>
        <v>52083.27693063</v>
      </c>
      <c r="P214" s="10" t="n">
        <f aca="false">O214-I214</f>
        <v>704.796390630014</v>
      </c>
      <c r="Q214" s="10" t="n">
        <f aca="false">(J214-D214)*(1-E214)*(1-F214)</f>
        <v>75.0499199999995</v>
      </c>
      <c r="R214" s="10" t="n">
        <f aca="false">J214*(E214-K214)*(1-F214)</f>
        <v>-111.855501</v>
      </c>
      <c r="S214" s="10" t="n">
        <f aca="false">M214*(F214-L214)</f>
        <v>741.601971630007</v>
      </c>
      <c r="T214" s="10" t="n">
        <f aca="false">ROUND(P214-(Q214+R214+S214),2)</f>
        <v>0</v>
      </c>
    </row>
    <row r="215" customFormat="false" ht="15" hidden="false" customHeight="true" outlineLevel="0" collapsed="false">
      <c r="A215" s="7" t="s">
        <v>64</v>
      </c>
      <c r="B215" s="7" t="s">
        <v>72</v>
      </c>
      <c r="C215" s="7" t="s">
        <v>68</v>
      </c>
      <c r="D215" s="8" t="n">
        <v>130908.9</v>
      </c>
      <c r="E215" s="9" t="n">
        <v>0.08</v>
      </c>
      <c r="F215" s="9" t="n">
        <v>0.55</v>
      </c>
      <c r="G215" s="10" t="n">
        <f aca="false">D215*(1-E215)</f>
        <v>120436.188</v>
      </c>
      <c r="H215" s="10" t="n">
        <f aca="false">G215*F215</f>
        <v>66239.9034</v>
      </c>
      <c r="I215" s="10" t="n">
        <f aca="false">G215-H215</f>
        <v>54196.2846</v>
      </c>
      <c r="J215" s="8" t="n">
        <v>126301.4</v>
      </c>
      <c r="K215" s="9" t="n">
        <v>0.0859</v>
      </c>
      <c r="L215" s="9" t="n">
        <v>0.548</v>
      </c>
      <c r="M215" s="10" t="n">
        <f aca="false">J215*(1-K215)</f>
        <v>115452.10974</v>
      </c>
      <c r="N215" s="10" t="n">
        <f aca="false">M215*L215</f>
        <v>63267.75613752</v>
      </c>
      <c r="O215" s="10" t="n">
        <f aca="false">M215-N215</f>
        <v>52184.35360248</v>
      </c>
      <c r="P215" s="10" t="n">
        <f aca="false">O215-I215</f>
        <v>-2011.93099752</v>
      </c>
      <c r="Q215" s="10" t="n">
        <f aca="false">(J215-D215)*(1-E215)*(1-F215)</f>
        <v>-1907.505</v>
      </c>
      <c r="R215" s="10" t="n">
        <f aca="false">J215*(E215-K215)*(1-F215)</f>
        <v>-335.330217</v>
      </c>
      <c r="S215" s="10" t="n">
        <f aca="false">M215*(F215-L215)</f>
        <v>230.90421948</v>
      </c>
      <c r="T215" s="10" t="n">
        <f aca="false">ROUND(P215-(Q215+R215+S215),2)</f>
        <v>0</v>
      </c>
    </row>
    <row r="216" customFormat="false" ht="15" hidden="false" customHeight="true" outlineLevel="0" collapsed="false">
      <c r="A216" s="7" t="s">
        <v>65</v>
      </c>
      <c r="B216" s="7" t="s">
        <v>72</v>
      </c>
      <c r="C216" s="7" t="s">
        <v>68</v>
      </c>
      <c r="D216" s="8" t="n">
        <v>155770.18</v>
      </c>
      <c r="E216" s="9" t="n">
        <v>0.08</v>
      </c>
      <c r="F216" s="9" t="n">
        <v>0.55</v>
      </c>
      <c r="G216" s="10" t="n">
        <f aca="false">D216*(1-E216)</f>
        <v>143308.5656</v>
      </c>
      <c r="H216" s="10" t="n">
        <f aca="false">G216*F216</f>
        <v>78819.71108</v>
      </c>
      <c r="I216" s="10" t="n">
        <f aca="false">G216-H216</f>
        <v>64488.85452</v>
      </c>
      <c r="J216" s="8" t="n">
        <v>154152.69</v>
      </c>
      <c r="K216" s="9" t="n">
        <v>0.0733</v>
      </c>
      <c r="L216" s="9" t="n">
        <v>0.5465</v>
      </c>
      <c r="M216" s="10" t="n">
        <f aca="false">J216*(1-K216)</f>
        <v>142853.297823</v>
      </c>
      <c r="N216" s="10" t="n">
        <f aca="false">M216*L216</f>
        <v>78069.3272602695</v>
      </c>
      <c r="O216" s="10" t="n">
        <f aca="false">M216-N216</f>
        <v>64783.9705627305</v>
      </c>
      <c r="P216" s="10" t="n">
        <f aca="false">O216-I216</f>
        <v>295.116042730515</v>
      </c>
      <c r="Q216" s="10" t="n">
        <f aca="false">(J216-D216)*(1-E216)*(1-F216)</f>
        <v>-669.640859999996</v>
      </c>
      <c r="R216" s="10" t="n">
        <f aca="false">J216*(E216-K216)*(1-F216)</f>
        <v>464.77036035</v>
      </c>
      <c r="S216" s="10" t="n">
        <f aca="false">M216*(F216-L216)</f>
        <v>499.986542380508</v>
      </c>
      <c r="T216" s="10" t="n">
        <f aca="false">ROUND(P216-(Q216+R216+S216),2)</f>
        <v>0</v>
      </c>
    </row>
    <row r="217" customFormat="false" ht="15" hidden="false" customHeight="true" outlineLevel="0" collapsed="false">
      <c r="A217" s="7" t="s">
        <v>66</v>
      </c>
      <c r="B217" s="7" t="s">
        <v>72</v>
      </c>
      <c r="C217" s="7" t="s">
        <v>68</v>
      </c>
      <c r="D217" s="8" t="n">
        <v>147178.77</v>
      </c>
      <c r="E217" s="9" t="n">
        <v>0.08</v>
      </c>
      <c r="F217" s="9" t="n">
        <v>0.55</v>
      </c>
      <c r="G217" s="10" t="n">
        <f aca="false">D217*(1-E217)</f>
        <v>135404.4684</v>
      </c>
      <c r="H217" s="10" t="n">
        <f aca="false">G217*F217</f>
        <v>74472.45762</v>
      </c>
      <c r="I217" s="10" t="n">
        <f aca="false">G217-H217</f>
        <v>60932.01078</v>
      </c>
      <c r="J217" s="8" t="n">
        <v>157622.12</v>
      </c>
      <c r="K217" s="9" t="n">
        <v>0.0801</v>
      </c>
      <c r="L217" s="9" t="n">
        <v>0.5518</v>
      </c>
      <c r="M217" s="10" t="n">
        <f aca="false">J217*(1-K217)</f>
        <v>144996.588188</v>
      </c>
      <c r="N217" s="10" t="n">
        <f aca="false">M217*L217</f>
        <v>80009.1173621384</v>
      </c>
      <c r="O217" s="10" t="n">
        <f aca="false">M217-N217</f>
        <v>64987.4708258616</v>
      </c>
      <c r="P217" s="10" t="n">
        <f aca="false">O217-I217</f>
        <v>4055.46004586162</v>
      </c>
      <c r="Q217" s="10" t="n">
        <f aca="false">(J217-D217)*(1-E217)*(1-F217)</f>
        <v>4323.5469</v>
      </c>
      <c r="R217" s="10" t="n">
        <f aca="false">J217*(E217-K217)*(1-F217)</f>
        <v>-7.0929954000002</v>
      </c>
      <c r="S217" s="10" t="n">
        <f aca="false">M217*(F217-L217)</f>
        <v>-260.993858738387</v>
      </c>
      <c r="T217" s="10" t="n">
        <f aca="false">ROUND(P217-(Q217+R217+S217),2)</f>
        <v>0</v>
      </c>
    </row>
    <row r="218" customFormat="false" ht="15" hidden="false" customHeight="true" outlineLevel="0" collapsed="false">
      <c r="A218" s="7" t="s">
        <v>41</v>
      </c>
      <c r="B218" s="7" t="s">
        <v>72</v>
      </c>
      <c r="C218" s="7" t="s">
        <v>69</v>
      </c>
      <c r="D218" s="8" t="n">
        <v>113949.83</v>
      </c>
      <c r="E218" s="9" t="n">
        <v>0.11</v>
      </c>
      <c r="F218" s="9" t="n">
        <v>0.54</v>
      </c>
      <c r="G218" s="10" t="n">
        <f aca="false">D218*(1-E218)</f>
        <v>101415.3487</v>
      </c>
      <c r="H218" s="10" t="n">
        <f aca="false">G218*F218</f>
        <v>54764.288298</v>
      </c>
      <c r="I218" s="10" t="n">
        <f aca="false">G218-H218</f>
        <v>46651.060402</v>
      </c>
      <c r="J218" s="8" t="n">
        <v>114066.33</v>
      </c>
      <c r="K218" s="9" t="n">
        <v>0.1038</v>
      </c>
      <c r="L218" s="9" t="n">
        <v>0.5347</v>
      </c>
      <c r="M218" s="10" t="n">
        <f aca="false">J218*(1-K218)</f>
        <v>102226.244946</v>
      </c>
      <c r="N218" s="10" t="n">
        <f aca="false">M218*L218</f>
        <v>54660.3731726262</v>
      </c>
      <c r="O218" s="10" t="n">
        <f aca="false">M218-N218</f>
        <v>47565.8717733738</v>
      </c>
      <c r="P218" s="10" t="n">
        <f aca="false">O218-I218</f>
        <v>914.811371373813</v>
      </c>
      <c r="Q218" s="10" t="n">
        <f aca="false">(J218-D218)*(1-E218)*(1-F218)</f>
        <v>47.6951</v>
      </c>
      <c r="R218" s="10" t="n">
        <f aca="false">J218*(E218-K218)*(1-F218)</f>
        <v>325.31717316</v>
      </c>
      <c r="S218" s="10" t="n">
        <f aca="false">M218*(F218-L218)</f>
        <v>541.799098213808</v>
      </c>
      <c r="T218" s="10" t="n">
        <f aca="false">ROUND(P218-(Q218+R218+S218),2)</f>
        <v>0</v>
      </c>
    </row>
    <row r="219" customFormat="false" ht="15" hidden="false" customHeight="true" outlineLevel="0" collapsed="false">
      <c r="A219" s="7" t="s">
        <v>44</v>
      </c>
      <c r="B219" s="7" t="s">
        <v>72</v>
      </c>
      <c r="C219" s="7" t="s">
        <v>69</v>
      </c>
      <c r="D219" s="8" t="n">
        <v>112308.95</v>
      </c>
      <c r="E219" s="9" t="n">
        <v>0.11</v>
      </c>
      <c r="F219" s="9" t="n">
        <v>0.54</v>
      </c>
      <c r="G219" s="10" t="n">
        <f aca="false">D219*(1-E219)</f>
        <v>99954.9655</v>
      </c>
      <c r="H219" s="10" t="n">
        <f aca="false">G219*F219</f>
        <v>53975.68137</v>
      </c>
      <c r="I219" s="10" t="n">
        <f aca="false">G219-H219</f>
        <v>45979.28413</v>
      </c>
      <c r="J219" s="8" t="n">
        <v>115438.92</v>
      </c>
      <c r="K219" s="9" t="n">
        <v>0.1026</v>
      </c>
      <c r="L219" s="9" t="n">
        <v>0.5489</v>
      </c>
      <c r="M219" s="10" t="n">
        <f aca="false">J219*(1-K219)</f>
        <v>103594.886808</v>
      </c>
      <c r="N219" s="10" t="n">
        <f aca="false">M219*L219</f>
        <v>56863.2333689112</v>
      </c>
      <c r="O219" s="10" t="n">
        <f aca="false">M219-N219</f>
        <v>46731.6534390888</v>
      </c>
      <c r="P219" s="10" t="n">
        <f aca="false">O219-I219</f>
        <v>752.36930908879</v>
      </c>
      <c r="Q219" s="10" t="n">
        <f aca="false">(J219-D219)*(1-E219)*(1-F219)</f>
        <v>1281.409718</v>
      </c>
      <c r="R219" s="10" t="n">
        <f aca="false">J219*(E219-K219)*(1-F219)</f>
        <v>392.95408368</v>
      </c>
      <c r="S219" s="10" t="n">
        <f aca="false">M219*(F219-L219)</f>
        <v>-921.994492591202</v>
      </c>
      <c r="T219" s="10" t="n">
        <f aca="false">ROUND(P219-(Q219+R219+S219),2)</f>
        <v>-0</v>
      </c>
    </row>
    <row r="220" customFormat="false" ht="15" hidden="false" customHeight="true" outlineLevel="0" collapsed="false">
      <c r="A220" s="7" t="s">
        <v>45</v>
      </c>
      <c r="B220" s="7" t="s">
        <v>72</v>
      </c>
      <c r="C220" s="7" t="s">
        <v>69</v>
      </c>
      <c r="D220" s="8" t="n">
        <v>122204.86</v>
      </c>
      <c r="E220" s="9" t="n">
        <v>0.11</v>
      </c>
      <c r="F220" s="9" t="n">
        <v>0.54</v>
      </c>
      <c r="G220" s="10" t="n">
        <f aca="false">D220*(1-E220)</f>
        <v>108762.3254</v>
      </c>
      <c r="H220" s="10" t="n">
        <f aca="false">G220*F220</f>
        <v>58731.655716</v>
      </c>
      <c r="I220" s="10" t="n">
        <f aca="false">G220-H220</f>
        <v>50030.669684</v>
      </c>
      <c r="J220" s="8" t="n">
        <v>121956.45</v>
      </c>
      <c r="K220" s="9" t="n">
        <v>0.0949</v>
      </c>
      <c r="L220" s="9" t="n">
        <v>0.5477</v>
      </c>
      <c r="M220" s="10" t="n">
        <f aca="false">J220*(1-K220)</f>
        <v>110382.782895</v>
      </c>
      <c r="N220" s="10" t="n">
        <f aca="false">M220*L220</f>
        <v>60456.6501915915</v>
      </c>
      <c r="O220" s="10" t="n">
        <f aca="false">M220-N220</f>
        <v>49926.1327034085</v>
      </c>
      <c r="P220" s="10" t="n">
        <f aca="false">O220-I220</f>
        <v>-104.536980591496</v>
      </c>
      <c r="Q220" s="10" t="n">
        <f aca="false">(J220-D220)*(1-E220)*(1-F220)</f>
        <v>-101.699054000001</v>
      </c>
      <c r="R220" s="10" t="n">
        <f aca="false">J220*(E220-K220)*(1-F220)</f>
        <v>847.1095017</v>
      </c>
      <c r="S220" s="10" t="n">
        <f aca="false">M220*(F220-L220)</f>
        <v>-849.947428291492</v>
      </c>
      <c r="T220" s="10" t="n">
        <f aca="false">ROUND(P220-(Q220+R220+S220),2)</f>
        <v>-0</v>
      </c>
    </row>
    <row r="221" customFormat="false" ht="15" hidden="false" customHeight="true" outlineLevel="0" collapsed="false">
      <c r="A221" s="7" t="s">
        <v>46</v>
      </c>
      <c r="B221" s="7" t="s">
        <v>72</v>
      </c>
      <c r="C221" s="7" t="s">
        <v>69</v>
      </c>
      <c r="D221" s="8" t="n">
        <v>127056.59</v>
      </c>
      <c r="E221" s="9" t="n">
        <v>0.11</v>
      </c>
      <c r="F221" s="9" t="n">
        <v>0.54</v>
      </c>
      <c r="G221" s="10" t="n">
        <f aca="false">D221*(1-E221)</f>
        <v>113080.3651</v>
      </c>
      <c r="H221" s="10" t="n">
        <f aca="false">G221*F221</f>
        <v>61063.397154</v>
      </c>
      <c r="I221" s="10" t="n">
        <f aca="false">G221-H221</f>
        <v>52016.967946</v>
      </c>
      <c r="J221" s="8" t="n">
        <v>125196.58</v>
      </c>
      <c r="K221" s="9" t="n">
        <v>0.0974</v>
      </c>
      <c r="L221" s="9" t="n">
        <v>0.5517</v>
      </c>
      <c r="M221" s="10" t="n">
        <f aca="false">J221*(1-K221)</f>
        <v>113002.433108</v>
      </c>
      <c r="N221" s="10" t="n">
        <f aca="false">M221*L221</f>
        <v>62343.4423456836</v>
      </c>
      <c r="O221" s="10" t="n">
        <f aca="false">M221-N221</f>
        <v>50658.9907623164</v>
      </c>
      <c r="P221" s="10" t="n">
        <f aca="false">O221-I221</f>
        <v>-1357.97718368359</v>
      </c>
      <c r="Q221" s="10" t="n">
        <f aca="false">(J221-D221)*(1-E221)*(1-F221)</f>
        <v>-761.488093999998</v>
      </c>
      <c r="R221" s="10" t="n">
        <f aca="false">J221*(E221-K221)*(1-F221)</f>
        <v>725.63937768</v>
      </c>
      <c r="S221" s="10" t="n">
        <f aca="false">M221*(F221-L221)</f>
        <v>-1322.12846736359</v>
      </c>
      <c r="T221" s="10" t="n">
        <f aca="false">ROUND(P221-(Q221+R221+S221),2)</f>
        <v>0</v>
      </c>
    </row>
    <row r="222" customFormat="false" ht="15" hidden="false" customHeight="true" outlineLevel="0" collapsed="false">
      <c r="A222" s="7" t="s">
        <v>47</v>
      </c>
      <c r="B222" s="7" t="s">
        <v>72</v>
      </c>
      <c r="C222" s="7" t="s">
        <v>69</v>
      </c>
      <c r="D222" s="8" t="n">
        <v>130662.47</v>
      </c>
      <c r="E222" s="9" t="n">
        <v>0.11</v>
      </c>
      <c r="F222" s="9" t="n">
        <v>0.54</v>
      </c>
      <c r="G222" s="10" t="n">
        <f aca="false">D222*(1-E222)</f>
        <v>116289.5983</v>
      </c>
      <c r="H222" s="10" t="n">
        <f aca="false">G222*F222</f>
        <v>62796.383082</v>
      </c>
      <c r="I222" s="10" t="n">
        <f aca="false">G222-H222</f>
        <v>53493.215218</v>
      </c>
      <c r="J222" s="8" t="n">
        <v>130646.83</v>
      </c>
      <c r="K222" s="9" t="n">
        <v>0.1152</v>
      </c>
      <c r="L222" s="9" t="n">
        <v>0.5398</v>
      </c>
      <c r="M222" s="10" t="n">
        <f aca="false">J222*(1-K222)</f>
        <v>115596.315184</v>
      </c>
      <c r="N222" s="10" t="n">
        <f aca="false">M222*L222</f>
        <v>62398.8909363232</v>
      </c>
      <c r="O222" s="10" t="n">
        <f aca="false">M222-N222</f>
        <v>53197.4242476768</v>
      </c>
      <c r="P222" s="10" t="n">
        <f aca="false">O222-I222</f>
        <v>-295.790970323185</v>
      </c>
      <c r="Q222" s="10" t="n">
        <f aca="false">(J222-D222)*(1-E222)*(1-F222)</f>
        <v>-6.40301599999976</v>
      </c>
      <c r="R222" s="10" t="n">
        <f aca="false">J222*(E222-K222)*(1-F222)</f>
        <v>-312.50721736</v>
      </c>
      <c r="S222" s="10" t="n">
        <f aca="false">M222*(F222-L222)</f>
        <v>23.1192630368103</v>
      </c>
      <c r="T222" s="10" t="n">
        <f aca="false">ROUND(P222-(Q222+R222+S222),2)</f>
        <v>0</v>
      </c>
    </row>
    <row r="223" customFormat="false" ht="15" hidden="false" customHeight="true" outlineLevel="0" collapsed="false">
      <c r="A223" s="7" t="s">
        <v>48</v>
      </c>
      <c r="B223" s="7" t="s">
        <v>72</v>
      </c>
      <c r="C223" s="7" t="s">
        <v>69</v>
      </c>
      <c r="D223" s="8" t="n">
        <v>134308.86</v>
      </c>
      <c r="E223" s="9" t="n">
        <v>0.11</v>
      </c>
      <c r="F223" s="9" t="n">
        <v>0.54</v>
      </c>
      <c r="G223" s="10" t="n">
        <f aca="false">D223*(1-E223)</f>
        <v>119534.8854</v>
      </c>
      <c r="H223" s="10" t="n">
        <f aca="false">G223*F223</f>
        <v>64548.838116</v>
      </c>
      <c r="I223" s="10" t="n">
        <f aca="false">G223-H223</f>
        <v>54986.047284</v>
      </c>
      <c r="J223" s="8" t="n">
        <v>134150.87</v>
      </c>
      <c r="K223" s="9" t="n">
        <v>0.1067</v>
      </c>
      <c r="L223" s="9" t="n">
        <v>0.5264</v>
      </c>
      <c r="M223" s="10" t="n">
        <f aca="false">J223*(1-K223)</f>
        <v>119836.972171</v>
      </c>
      <c r="N223" s="10" t="n">
        <f aca="false">M223*L223</f>
        <v>63082.1821508144</v>
      </c>
      <c r="O223" s="10" t="n">
        <f aca="false">M223-N223</f>
        <v>56754.7900201856</v>
      </c>
      <c r="P223" s="10" t="n">
        <f aca="false">O223-I223</f>
        <v>1768.74273618561</v>
      </c>
      <c r="Q223" s="10" t="n">
        <f aca="false">(J223-D223)*(1-E223)*(1-F223)</f>
        <v>-64.6811059999962</v>
      </c>
      <c r="R223" s="10" t="n">
        <f aca="false">J223*(E223-K223)*(1-F223)</f>
        <v>203.64102066</v>
      </c>
      <c r="S223" s="10" t="n">
        <f aca="false">M223*(F223-L223)</f>
        <v>1629.78282152561</v>
      </c>
      <c r="T223" s="10" t="n">
        <f aca="false">ROUND(P223-(Q223+R223+S223),2)</f>
        <v>0</v>
      </c>
    </row>
    <row r="224" customFormat="false" ht="15" hidden="false" customHeight="true" outlineLevel="0" collapsed="false">
      <c r="A224" s="7" t="s">
        <v>49</v>
      </c>
      <c r="B224" s="7" t="s">
        <v>72</v>
      </c>
      <c r="C224" s="7" t="s">
        <v>69</v>
      </c>
      <c r="D224" s="8" t="n">
        <v>132688.24</v>
      </c>
      <c r="E224" s="9" t="n">
        <v>0.11</v>
      </c>
      <c r="F224" s="9" t="n">
        <v>0.54</v>
      </c>
      <c r="G224" s="10" t="n">
        <f aca="false">D224*(1-E224)</f>
        <v>118092.5336</v>
      </c>
      <c r="H224" s="10" t="n">
        <f aca="false">G224*F224</f>
        <v>63769.968144</v>
      </c>
      <c r="I224" s="10" t="n">
        <f aca="false">G224-H224</f>
        <v>54322.565456</v>
      </c>
      <c r="J224" s="8" t="n">
        <v>126149.83</v>
      </c>
      <c r="K224" s="9" t="n">
        <v>0.1141</v>
      </c>
      <c r="L224" s="9" t="n">
        <v>0.5396</v>
      </c>
      <c r="M224" s="10" t="n">
        <f aca="false">J224*(1-K224)</f>
        <v>111756.134397</v>
      </c>
      <c r="N224" s="10" t="n">
        <f aca="false">M224*L224</f>
        <v>60303.6101206212</v>
      </c>
      <c r="O224" s="10" t="n">
        <f aca="false">M224-N224</f>
        <v>51452.5242763788</v>
      </c>
      <c r="P224" s="10" t="n">
        <f aca="false">O224-I224</f>
        <v>-2870.04117962119</v>
      </c>
      <c r="Q224" s="10" t="n">
        <f aca="false">(J224-D224)*(1-E224)*(1-F224)</f>
        <v>-2676.825054</v>
      </c>
      <c r="R224" s="10" t="n">
        <f aca="false">J224*(E224-K224)*(1-F224)</f>
        <v>-237.91857938</v>
      </c>
      <c r="S224" s="10" t="n">
        <f aca="false">M224*(F224-L224)</f>
        <v>44.7024537588075</v>
      </c>
      <c r="T224" s="10" t="n">
        <f aca="false">ROUND(P224-(Q224+R224+S224),2)</f>
        <v>0</v>
      </c>
    </row>
    <row r="225" customFormat="false" ht="15" hidden="false" customHeight="true" outlineLevel="0" collapsed="false">
      <c r="A225" s="7" t="s">
        <v>50</v>
      </c>
      <c r="B225" s="7" t="s">
        <v>72</v>
      </c>
      <c r="C225" s="7" t="s">
        <v>69</v>
      </c>
      <c r="D225" s="8" t="n">
        <v>137712.16</v>
      </c>
      <c r="E225" s="9" t="n">
        <v>0.11</v>
      </c>
      <c r="F225" s="9" t="n">
        <v>0.54</v>
      </c>
      <c r="G225" s="10" t="n">
        <f aca="false">D225*(1-E225)</f>
        <v>122563.8224</v>
      </c>
      <c r="H225" s="10" t="n">
        <f aca="false">G225*F225</f>
        <v>66184.464096</v>
      </c>
      <c r="I225" s="10" t="n">
        <f aca="false">G225-H225</f>
        <v>56379.358304</v>
      </c>
      <c r="J225" s="8" t="n">
        <v>132543.2</v>
      </c>
      <c r="K225" s="9" t="n">
        <v>0.1062</v>
      </c>
      <c r="L225" s="9" t="n">
        <v>0.5364</v>
      </c>
      <c r="M225" s="10" t="n">
        <f aca="false">J225*(1-K225)</f>
        <v>118467.11216</v>
      </c>
      <c r="N225" s="10" t="n">
        <f aca="false">M225*L225</f>
        <v>63545.758962624</v>
      </c>
      <c r="O225" s="10" t="n">
        <f aca="false">M225-N225</f>
        <v>54921.353197376</v>
      </c>
      <c r="P225" s="10" t="n">
        <f aca="false">O225-I225</f>
        <v>-1458.00510662398</v>
      </c>
      <c r="Q225" s="10" t="n">
        <f aca="false">(J225-D225)*(1-E225)*(1-F225)</f>
        <v>-2116.172224</v>
      </c>
      <c r="R225" s="10" t="n">
        <f aca="false">J225*(E225-K225)*(1-F225)</f>
        <v>231.6855136</v>
      </c>
      <c r="S225" s="10" t="n">
        <f aca="false">M225*(F225-L225)</f>
        <v>426.481603776006</v>
      </c>
      <c r="T225" s="10" t="n">
        <f aca="false">ROUND(P225-(Q225+R225+S225),2)</f>
        <v>0</v>
      </c>
    </row>
    <row r="226" customFormat="false" ht="15" hidden="false" customHeight="true" outlineLevel="0" collapsed="false">
      <c r="A226" s="7" t="s">
        <v>51</v>
      </c>
      <c r="B226" s="7" t="s">
        <v>72</v>
      </c>
      <c r="C226" s="7" t="s">
        <v>69</v>
      </c>
      <c r="D226" s="8" t="n">
        <v>141449.72</v>
      </c>
      <c r="E226" s="9" t="n">
        <v>0.11</v>
      </c>
      <c r="F226" s="9" t="n">
        <v>0.54</v>
      </c>
      <c r="G226" s="10" t="n">
        <f aca="false">D226*(1-E226)</f>
        <v>125890.2508</v>
      </c>
      <c r="H226" s="10" t="n">
        <f aca="false">G226*F226</f>
        <v>67980.735432</v>
      </c>
      <c r="I226" s="10" t="n">
        <f aca="false">G226-H226</f>
        <v>57909.515368</v>
      </c>
      <c r="J226" s="8" t="n">
        <v>140103.27</v>
      </c>
      <c r="K226" s="9" t="n">
        <v>0.1274</v>
      </c>
      <c r="L226" s="9" t="n">
        <v>0.5367</v>
      </c>
      <c r="M226" s="10" t="n">
        <f aca="false">J226*(1-K226)</f>
        <v>122254.113402</v>
      </c>
      <c r="N226" s="10" t="n">
        <f aca="false">M226*L226</f>
        <v>65613.7826628534</v>
      </c>
      <c r="O226" s="10" t="n">
        <f aca="false">M226-N226</f>
        <v>56640.3307391466</v>
      </c>
      <c r="P226" s="10" t="n">
        <f aca="false">O226-I226</f>
        <v>-1269.18462885339</v>
      </c>
      <c r="Q226" s="10" t="n">
        <f aca="false">(J226-D226)*(1-E226)*(1-F226)</f>
        <v>-551.236630000005</v>
      </c>
      <c r="R226" s="10" t="n">
        <f aca="false">J226*(E226-K226)*(1-F226)</f>
        <v>-1121.38657308</v>
      </c>
      <c r="S226" s="10" t="n">
        <f aca="false">M226*(F226-L226)</f>
        <v>403.43857422661</v>
      </c>
      <c r="T226" s="10" t="n">
        <f aca="false">ROUND(P226-(Q226+R226+S226),2)</f>
        <v>0</v>
      </c>
    </row>
    <row r="227" customFormat="false" ht="15" hidden="false" customHeight="true" outlineLevel="0" collapsed="false">
      <c r="A227" s="7" t="s">
        <v>52</v>
      </c>
      <c r="B227" s="7" t="s">
        <v>72</v>
      </c>
      <c r="C227" s="7" t="s">
        <v>69</v>
      </c>
      <c r="D227" s="8" t="n">
        <v>149299.59</v>
      </c>
      <c r="E227" s="9" t="n">
        <v>0.11</v>
      </c>
      <c r="F227" s="9" t="n">
        <v>0.54</v>
      </c>
      <c r="G227" s="10" t="n">
        <f aca="false">D227*(1-E227)</f>
        <v>132876.6351</v>
      </c>
      <c r="H227" s="10" t="n">
        <f aca="false">G227*F227</f>
        <v>71753.382954</v>
      </c>
      <c r="I227" s="10" t="n">
        <f aca="false">G227-H227</f>
        <v>61123.252146</v>
      </c>
      <c r="J227" s="8" t="n">
        <v>153745.69</v>
      </c>
      <c r="K227" s="9" t="n">
        <v>0.1075</v>
      </c>
      <c r="L227" s="9" t="n">
        <v>0.5301</v>
      </c>
      <c r="M227" s="10" t="n">
        <f aca="false">J227*(1-K227)</f>
        <v>137218.028325</v>
      </c>
      <c r="N227" s="10" t="n">
        <f aca="false">M227*L227</f>
        <v>72739.2768150825</v>
      </c>
      <c r="O227" s="10" t="n">
        <f aca="false">M227-N227</f>
        <v>64478.7515099175</v>
      </c>
      <c r="P227" s="10" t="n">
        <f aca="false">O227-I227</f>
        <v>3355.49936391751</v>
      </c>
      <c r="Q227" s="10" t="n">
        <f aca="false">(J227-D227)*(1-E227)*(1-F227)</f>
        <v>1820.23334</v>
      </c>
      <c r="R227" s="10" t="n">
        <f aca="false">J227*(E227-K227)*(1-F227)</f>
        <v>176.8075435</v>
      </c>
      <c r="S227" s="10" t="n">
        <f aca="false">M227*(F227-L227)</f>
        <v>1358.4584804175</v>
      </c>
      <c r="T227" s="10" t="n">
        <f aca="false">ROUND(P227-(Q227+R227+S227),2)</f>
        <v>0</v>
      </c>
    </row>
    <row r="228" customFormat="false" ht="15" hidden="false" customHeight="true" outlineLevel="0" collapsed="false">
      <c r="A228" s="7" t="s">
        <v>53</v>
      </c>
      <c r="B228" s="7" t="s">
        <v>72</v>
      </c>
      <c r="C228" s="7" t="s">
        <v>69</v>
      </c>
      <c r="D228" s="8" t="n">
        <v>177761.73</v>
      </c>
      <c r="E228" s="9" t="n">
        <v>0.11</v>
      </c>
      <c r="F228" s="9" t="n">
        <v>0.54</v>
      </c>
      <c r="G228" s="10" t="n">
        <f aca="false">D228*(1-E228)</f>
        <v>158207.9397</v>
      </c>
      <c r="H228" s="10" t="n">
        <f aca="false">G228*F228</f>
        <v>85432.287438</v>
      </c>
      <c r="I228" s="10" t="n">
        <f aca="false">G228-H228</f>
        <v>72775.652262</v>
      </c>
      <c r="J228" s="8" t="n">
        <v>177057.31</v>
      </c>
      <c r="K228" s="9" t="n">
        <v>0.1107</v>
      </c>
      <c r="L228" s="9" t="n">
        <v>0.5406</v>
      </c>
      <c r="M228" s="10" t="n">
        <f aca="false">J228*(1-K228)</f>
        <v>157457.065783</v>
      </c>
      <c r="N228" s="10" t="n">
        <f aca="false">M228*L228</f>
        <v>85121.2897622898</v>
      </c>
      <c r="O228" s="10" t="n">
        <f aca="false">M228-N228</f>
        <v>72335.7760207102</v>
      </c>
      <c r="P228" s="10" t="n">
        <f aca="false">O228-I228</f>
        <v>-439.876241289792</v>
      </c>
      <c r="Q228" s="10" t="n">
        <f aca="false">(J228-D228)*(1-E228)*(1-F228)</f>
        <v>-288.389548000005</v>
      </c>
      <c r="R228" s="10" t="n">
        <f aca="false">J228*(E228-K228)*(1-F228)</f>
        <v>-57.0124538200005</v>
      </c>
      <c r="S228" s="10" t="n">
        <f aca="false">M228*(F228-L228)</f>
        <v>-94.4742394697896</v>
      </c>
      <c r="T228" s="10" t="n">
        <f aca="false">ROUND(P228-(Q228+R228+S228),2)</f>
        <v>0</v>
      </c>
    </row>
    <row r="229" customFormat="false" ht="15" hidden="false" customHeight="true" outlineLevel="0" collapsed="false">
      <c r="A229" s="7" t="s">
        <v>54</v>
      </c>
      <c r="B229" s="7" t="s">
        <v>72</v>
      </c>
      <c r="C229" s="7" t="s">
        <v>69</v>
      </c>
      <c r="D229" s="8" t="n">
        <v>168058.27</v>
      </c>
      <c r="E229" s="9" t="n">
        <v>0.11</v>
      </c>
      <c r="F229" s="9" t="n">
        <v>0.54</v>
      </c>
      <c r="G229" s="10" t="n">
        <f aca="false">D229*(1-E229)</f>
        <v>149571.8603</v>
      </c>
      <c r="H229" s="10" t="n">
        <f aca="false">G229*F229</f>
        <v>80768.804562</v>
      </c>
      <c r="I229" s="10" t="n">
        <f aca="false">G229-H229</f>
        <v>68803.055738</v>
      </c>
      <c r="J229" s="8" t="n">
        <v>154820.74</v>
      </c>
      <c r="K229" s="9" t="n">
        <v>0.1048</v>
      </c>
      <c r="L229" s="9" t="n">
        <v>0.538</v>
      </c>
      <c r="M229" s="10" t="n">
        <f aca="false">J229*(1-K229)</f>
        <v>138595.526448</v>
      </c>
      <c r="N229" s="10" t="n">
        <f aca="false">M229*L229</f>
        <v>74564.393229024</v>
      </c>
      <c r="O229" s="10" t="n">
        <f aca="false">M229-N229</f>
        <v>64031.133218976</v>
      </c>
      <c r="P229" s="10" t="n">
        <f aca="false">O229-I229</f>
        <v>-4771.92251902401</v>
      </c>
      <c r="Q229" s="10" t="n">
        <f aca="false">(J229-D229)*(1-E229)*(1-F229)</f>
        <v>-5419.444782</v>
      </c>
      <c r="R229" s="10" t="n">
        <f aca="false">J229*(E229-K229)*(1-F229)</f>
        <v>370.33121008</v>
      </c>
      <c r="S229" s="10" t="n">
        <f aca="false">M229*(F229-L229)</f>
        <v>277.191052896</v>
      </c>
      <c r="T229" s="10" t="n">
        <f aca="false">ROUND(P229-(Q229+R229+S229),2)</f>
        <v>0</v>
      </c>
    </row>
    <row r="230" customFormat="false" ht="15" hidden="false" customHeight="true" outlineLevel="0" collapsed="false">
      <c r="A230" s="7" t="s">
        <v>55</v>
      </c>
      <c r="B230" s="7" t="s">
        <v>72</v>
      </c>
      <c r="C230" s="7" t="s">
        <v>69</v>
      </c>
      <c r="D230" s="8" t="n">
        <v>124889.01</v>
      </c>
      <c r="E230" s="9" t="n">
        <v>0.11</v>
      </c>
      <c r="F230" s="9" t="n">
        <v>0.54</v>
      </c>
      <c r="G230" s="10" t="n">
        <f aca="false">D230*(1-E230)</f>
        <v>111151.2189</v>
      </c>
      <c r="H230" s="10" t="n">
        <f aca="false">G230*F230</f>
        <v>60021.658206</v>
      </c>
      <c r="I230" s="10" t="n">
        <f aca="false">G230-H230</f>
        <v>51129.560694</v>
      </c>
      <c r="J230" s="8" t="n">
        <v>141656.57</v>
      </c>
      <c r="K230" s="9" t="n">
        <v>0.1311</v>
      </c>
      <c r="L230" s="9" t="n">
        <v>0.5373</v>
      </c>
      <c r="M230" s="10" t="n">
        <f aca="false">J230*(1-K230)</f>
        <v>123085.393673</v>
      </c>
      <c r="N230" s="10" t="n">
        <f aca="false">M230*L230</f>
        <v>66133.7820205029</v>
      </c>
      <c r="O230" s="10" t="n">
        <f aca="false">M230-N230</f>
        <v>56951.6116524971</v>
      </c>
      <c r="P230" s="10" t="n">
        <f aca="false">O230-I230</f>
        <v>5822.05095849711</v>
      </c>
      <c r="Q230" s="10" t="n">
        <f aca="false">(J230-D230)*(1-E230)*(1-F230)</f>
        <v>6864.639064</v>
      </c>
      <c r="R230" s="10" t="n">
        <f aca="false">J230*(E230-K230)*(1-F230)</f>
        <v>-1374.91866842</v>
      </c>
      <c r="S230" s="10" t="n">
        <f aca="false">M230*(F230-L230)</f>
        <v>332.330562917104</v>
      </c>
      <c r="T230" s="10" t="n">
        <f aca="false">ROUND(P230-(Q230+R230+S230),2)</f>
        <v>0</v>
      </c>
    </row>
    <row r="231" customFormat="false" ht="15" hidden="false" customHeight="true" outlineLevel="0" collapsed="false">
      <c r="A231" s="7" t="s">
        <v>56</v>
      </c>
      <c r="B231" s="7" t="s">
        <v>72</v>
      </c>
      <c r="C231" s="7" t="s">
        <v>69</v>
      </c>
      <c r="D231" s="8" t="n">
        <v>123005.04</v>
      </c>
      <c r="E231" s="9" t="n">
        <v>0.11</v>
      </c>
      <c r="F231" s="9" t="n">
        <v>0.54</v>
      </c>
      <c r="G231" s="10" t="n">
        <f aca="false">D231*(1-E231)</f>
        <v>109474.4856</v>
      </c>
      <c r="H231" s="10" t="n">
        <f aca="false">G231*F231</f>
        <v>59116.222224</v>
      </c>
      <c r="I231" s="10" t="n">
        <f aca="false">G231-H231</f>
        <v>50358.263376</v>
      </c>
      <c r="J231" s="8" t="n">
        <v>124945.13</v>
      </c>
      <c r="K231" s="9" t="n">
        <v>0.1121</v>
      </c>
      <c r="L231" s="9" t="n">
        <v>0.5439</v>
      </c>
      <c r="M231" s="10" t="n">
        <f aca="false">J231*(1-K231)</f>
        <v>110938.780927</v>
      </c>
      <c r="N231" s="10" t="n">
        <f aca="false">M231*L231</f>
        <v>60339.6029461953</v>
      </c>
      <c r="O231" s="10" t="n">
        <f aca="false">M231-N231</f>
        <v>50599.1779808047</v>
      </c>
      <c r="P231" s="10" t="n">
        <f aca="false">O231-I231</f>
        <v>240.914604804697</v>
      </c>
      <c r="Q231" s="10" t="n">
        <f aca="false">(J231-D231)*(1-E231)*(1-F231)</f>
        <v>794.272846000005</v>
      </c>
      <c r="R231" s="10" t="n">
        <f aca="false">J231*(E231-K231)*(1-F231)</f>
        <v>-120.69699558</v>
      </c>
      <c r="S231" s="10" t="n">
        <f aca="false">M231*(F231-L231)</f>
        <v>-432.661245615302</v>
      </c>
      <c r="T231" s="10" t="n">
        <f aca="false">ROUND(P231-(Q231+R231+S231),2)</f>
        <v>-0</v>
      </c>
    </row>
    <row r="232" customFormat="false" ht="15" hidden="false" customHeight="true" outlineLevel="0" collapsed="false">
      <c r="A232" s="7" t="s">
        <v>57</v>
      </c>
      <c r="B232" s="7" t="s">
        <v>72</v>
      </c>
      <c r="C232" s="7" t="s">
        <v>69</v>
      </c>
      <c r="D232" s="8" t="n">
        <v>133751.77</v>
      </c>
      <c r="E232" s="9" t="n">
        <v>0.11</v>
      </c>
      <c r="F232" s="9" t="n">
        <v>0.54</v>
      </c>
      <c r="G232" s="10" t="n">
        <f aca="false">D232*(1-E232)</f>
        <v>119039.0753</v>
      </c>
      <c r="H232" s="10" t="n">
        <f aca="false">G232*F232</f>
        <v>64281.100662</v>
      </c>
      <c r="I232" s="10" t="n">
        <f aca="false">G232-H232</f>
        <v>54757.974638</v>
      </c>
      <c r="J232" s="8" t="n">
        <v>131647.53</v>
      </c>
      <c r="K232" s="9" t="n">
        <v>0.1044</v>
      </c>
      <c r="L232" s="9" t="n">
        <v>0.543</v>
      </c>
      <c r="M232" s="10" t="n">
        <f aca="false">J232*(1-K232)</f>
        <v>117903.527868</v>
      </c>
      <c r="N232" s="10" t="n">
        <f aca="false">M232*L232</f>
        <v>64021.615632324</v>
      </c>
      <c r="O232" s="10" t="n">
        <f aca="false">M232-N232</f>
        <v>53881.912235676</v>
      </c>
      <c r="P232" s="10" t="n">
        <f aca="false">O232-I232</f>
        <v>-876.062402324002</v>
      </c>
      <c r="Q232" s="10" t="n">
        <f aca="false">(J232-D232)*(1-E232)*(1-F232)</f>
        <v>-861.475855999996</v>
      </c>
      <c r="R232" s="10" t="n">
        <f aca="false">J232*(E232-K232)*(1-F232)</f>
        <v>339.12403728</v>
      </c>
      <c r="S232" s="10" t="n">
        <f aca="false">M232*(F232-L232)</f>
        <v>-353.710583604</v>
      </c>
      <c r="T232" s="10" t="n">
        <f aca="false">ROUND(P232-(Q232+R232+S232),2)</f>
        <v>-0</v>
      </c>
    </row>
    <row r="233" customFormat="false" ht="15" hidden="false" customHeight="true" outlineLevel="0" collapsed="false">
      <c r="A233" s="7" t="s">
        <v>58</v>
      </c>
      <c r="B233" s="7" t="s">
        <v>72</v>
      </c>
      <c r="C233" s="7" t="s">
        <v>69</v>
      </c>
      <c r="D233" s="8" t="n">
        <v>138968.14</v>
      </c>
      <c r="E233" s="9" t="n">
        <v>0.11</v>
      </c>
      <c r="F233" s="9" t="n">
        <v>0.54</v>
      </c>
      <c r="G233" s="10" t="n">
        <f aca="false">D233*(1-E233)</f>
        <v>123681.6446</v>
      </c>
      <c r="H233" s="10" t="n">
        <f aca="false">G233*F233</f>
        <v>66788.088084</v>
      </c>
      <c r="I233" s="10" t="n">
        <f aca="false">G233-H233</f>
        <v>56893.556516</v>
      </c>
      <c r="J233" s="8" t="n">
        <v>139780.23</v>
      </c>
      <c r="K233" s="9" t="n">
        <v>0.1121</v>
      </c>
      <c r="L233" s="9" t="n">
        <v>0.5456</v>
      </c>
      <c r="M233" s="10" t="n">
        <f aca="false">J233*(1-K233)</f>
        <v>124110.866217</v>
      </c>
      <c r="N233" s="10" t="n">
        <f aca="false">M233*L233</f>
        <v>67714.8886079952</v>
      </c>
      <c r="O233" s="10" t="n">
        <f aca="false">M233-N233</f>
        <v>56395.9776090048</v>
      </c>
      <c r="P233" s="10" t="n">
        <f aca="false">O233-I233</f>
        <v>-497.578906995186</v>
      </c>
      <c r="Q233" s="10" t="n">
        <f aca="false">(J233-D233)*(1-E233)*(1-F233)</f>
        <v>332.469645999999</v>
      </c>
      <c r="R233" s="10" t="n">
        <f aca="false">J233*(E233-K233)*(1-F233)</f>
        <v>-135.02770218</v>
      </c>
      <c r="S233" s="10" t="n">
        <f aca="false">M233*(F233-L233)</f>
        <v>-695.020850815193</v>
      </c>
      <c r="T233" s="10" t="n">
        <f aca="false">ROUND(P233-(Q233+R233+S233),2)</f>
        <v>0</v>
      </c>
    </row>
    <row r="234" customFormat="false" ht="15" hidden="false" customHeight="true" outlineLevel="0" collapsed="false">
      <c r="A234" s="7" t="s">
        <v>59</v>
      </c>
      <c r="B234" s="7" t="s">
        <v>72</v>
      </c>
      <c r="C234" s="7" t="s">
        <v>69</v>
      </c>
      <c r="D234" s="8" t="n">
        <v>142817.11</v>
      </c>
      <c r="E234" s="9" t="n">
        <v>0.11</v>
      </c>
      <c r="F234" s="9" t="n">
        <v>0.54</v>
      </c>
      <c r="G234" s="10" t="n">
        <f aca="false">D234*(1-E234)</f>
        <v>127107.2279</v>
      </c>
      <c r="H234" s="10" t="n">
        <f aca="false">G234*F234</f>
        <v>68637.903066</v>
      </c>
      <c r="I234" s="10" t="n">
        <f aca="false">G234-H234</f>
        <v>58469.324834</v>
      </c>
      <c r="J234" s="8" t="n">
        <v>142843.65</v>
      </c>
      <c r="K234" s="9" t="n">
        <v>0.0957</v>
      </c>
      <c r="L234" s="9" t="n">
        <v>0.5262</v>
      </c>
      <c r="M234" s="10" t="n">
        <f aca="false">J234*(1-K234)</f>
        <v>129173.512695</v>
      </c>
      <c r="N234" s="10" t="n">
        <f aca="false">M234*L234</f>
        <v>67971.102380109</v>
      </c>
      <c r="O234" s="10" t="n">
        <f aca="false">M234-N234</f>
        <v>61202.410314891</v>
      </c>
      <c r="P234" s="10" t="n">
        <f aca="false">O234-I234</f>
        <v>2733.08548089101</v>
      </c>
      <c r="Q234" s="10" t="n">
        <f aca="false">(J234-D234)*(1-E234)*(1-F234)</f>
        <v>10.8654760000033</v>
      </c>
      <c r="R234" s="10" t="n">
        <f aca="false">J234*(E234-K234)*(1-F234)</f>
        <v>939.6255297</v>
      </c>
      <c r="S234" s="10" t="n">
        <f aca="false">M234*(F234-L234)</f>
        <v>1782.594475191</v>
      </c>
      <c r="T234" s="10" t="n">
        <f aca="false">ROUND(P234-(Q234+R234+S234),2)</f>
        <v>0</v>
      </c>
    </row>
    <row r="235" customFormat="false" ht="15" hidden="false" customHeight="true" outlineLevel="0" collapsed="false">
      <c r="A235" s="7" t="s">
        <v>60</v>
      </c>
      <c r="B235" s="7" t="s">
        <v>72</v>
      </c>
      <c r="C235" s="7" t="s">
        <v>69</v>
      </c>
      <c r="D235" s="8" t="n">
        <v>146706.6</v>
      </c>
      <c r="E235" s="9" t="n">
        <v>0.11</v>
      </c>
      <c r="F235" s="9" t="n">
        <v>0.54</v>
      </c>
      <c r="G235" s="10" t="n">
        <f aca="false">D235*(1-E235)</f>
        <v>130568.874</v>
      </c>
      <c r="H235" s="10" t="n">
        <f aca="false">G235*F235</f>
        <v>70507.19196</v>
      </c>
      <c r="I235" s="10" t="n">
        <f aca="false">G235-H235</f>
        <v>60061.68204</v>
      </c>
      <c r="J235" s="8" t="n">
        <v>147016.85</v>
      </c>
      <c r="K235" s="9" t="n">
        <v>0.1099</v>
      </c>
      <c r="L235" s="9" t="n">
        <v>0.5378</v>
      </c>
      <c r="M235" s="10" t="n">
        <f aca="false">J235*(1-K235)</f>
        <v>130859.698185</v>
      </c>
      <c r="N235" s="10" t="n">
        <f aca="false">M235*L235</f>
        <v>70376.345683893</v>
      </c>
      <c r="O235" s="10" t="n">
        <f aca="false">M235-N235</f>
        <v>60483.352501107</v>
      </c>
      <c r="P235" s="10" t="n">
        <f aca="false">O235-I235</f>
        <v>421.670461107002</v>
      </c>
      <c r="Q235" s="10" t="n">
        <f aca="false">(J235-D235)*(1-E235)*(1-F235)</f>
        <v>127.01635</v>
      </c>
      <c r="R235" s="10" t="n">
        <f aca="false">J235*(E235-K235)*(1-F235)</f>
        <v>6.76277510000019</v>
      </c>
      <c r="S235" s="10" t="n">
        <f aca="false">M235*(F235-L235)</f>
        <v>287.891336007012</v>
      </c>
      <c r="T235" s="10" t="n">
        <f aca="false">ROUND(P235-(Q235+R235+S235),2)</f>
        <v>-0</v>
      </c>
    </row>
    <row r="236" customFormat="false" ht="15" hidden="false" customHeight="true" outlineLevel="0" collapsed="false">
      <c r="A236" s="7" t="s">
        <v>61</v>
      </c>
      <c r="B236" s="7" t="s">
        <v>72</v>
      </c>
      <c r="C236" s="7" t="s">
        <v>69</v>
      </c>
      <c r="D236" s="8" t="n">
        <v>144842.89</v>
      </c>
      <c r="E236" s="9" t="n">
        <v>0.11</v>
      </c>
      <c r="F236" s="9" t="n">
        <v>0.54</v>
      </c>
      <c r="G236" s="10" t="n">
        <f aca="false">D236*(1-E236)</f>
        <v>128910.1721</v>
      </c>
      <c r="H236" s="10" t="n">
        <f aca="false">G236*F236</f>
        <v>69611.492934</v>
      </c>
      <c r="I236" s="10" t="n">
        <f aca="false">G236-H236</f>
        <v>59298.679166</v>
      </c>
      <c r="J236" s="8" t="n">
        <v>149101.47</v>
      </c>
      <c r="K236" s="9" t="n">
        <v>0.1057</v>
      </c>
      <c r="L236" s="9" t="n">
        <v>0.5359</v>
      </c>
      <c r="M236" s="10" t="n">
        <f aca="false">J236*(1-K236)</f>
        <v>133341.444621</v>
      </c>
      <c r="N236" s="10" t="n">
        <f aca="false">M236*L236</f>
        <v>71457.6801723939</v>
      </c>
      <c r="O236" s="10" t="n">
        <f aca="false">M236-N236</f>
        <v>61883.7644486061</v>
      </c>
      <c r="P236" s="10" t="n">
        <f aca="false">O236-I236</f>
        <v>2585.08528260609</v>
      </c>
      <c r="Q236" s="10" t="n">
        <f aca="false">(J236-D236)*(1-E236)*(1-F236)</f>
        <v>1743.46265199999</v>
      </c>
      <c r="R236" s="10" t="n">
        <f aca="false">J236*(E236-K236)*(1-F236)</f>
        <v>294.92270766</v>
      </c>
      <c r="S236" s="10" t="n">
        <f aca="false">M236*(F236-L236)</f>
        <v>546.699922946099</v>
      </c>
      <c r="T236" s="10" t="n">
        <f aca="false">ROUND(P236-(Q236+R236+S236),2)</f>
        <v>0</v>
      </c>
    </row>
    <row r="237" customFormat="false" ht="15" hidden="false" customHeight="true" outlineLevel="0" collapsed="false">
      <c r="A237" s="7" t="s">
        <v>62</v>
      </c>
      <c r="B237" s="7" t="s">
        <v>72</v>
      </c>
      <c r="C237" s="7" t="s">
        <v>69</v>
      </c>
      <c r="D237" s="8" t="n">
        <v>150231.45</v>
      </c>
      <c r="E237" s="9" t="n">
        <v>0.11</v>
      </c>
      <c r="F237" s="9" t="n">
        <v>0.54</v>
      </c>
      <c r="G237" s="10" t="n">
        <f aca="false">D237*(1-E237)</f>
        <v>133705.9905</v>
      </c>
      <c r="H237" s="10" t="n">
        <f aca="false">G237*F237</f>
        <v>72201.23487</v>
      </c>
      <c r="I237" s="10" t="n">
        <f aca="false">G237-H237</f>
        <v>61504.75563</v>
      </c>
      <c r="J237" s="8" t="n">
        <v>153871.18</v>
      </c>
      <c r="K237" s="9" t="n">
        <v>0.117</v>
      </c>
      <c r="L237" s="9" t="n">
        <v>0.543</v>
      </c>
      <c r="M237" s="10" t="n">
        <f aca="false">J237*(1-K237)</f>
        <v>135868.25194</v>
      </c>
      <c r="N237" s="10" t="n">
        <f aca="false">M237*L237</f>
        <v>73776.46080342</v>
      </c>
      <c r="O237" s="10" t="n">
        <f aca="false">M237-N237</f>
        <v>62091.79113658</v>
      </c>
      <c r="P237" s="10" t="n">
        <f aca="false">O237-I237</f>
        <v>587.035506579996</v>
      </c>
      <c r="Q237" s="10" t="n">
        <f aca="false">(J237-D237)*(1-E237)*(1-F237)</f>
        <v>1490.10546199999</v>
      </c>
      <c r="R237" s="10" t="n">
        <f aca="false">J237*(E237-K237)*(1-F237)</f>
        <v>-495.4651996</v>
      </c>
      <c r="S237" s="10" t="n">
        <f aca="false">M237*(F237-L237)</f>
        <v>-407.60475582</v>
      </c>
      <c r="T237" s="10" t="n">
        <f aca="false">ROUND(P237-(Q237+R237+S237),2)</f>
        <v>0</v>
      </c>
    </row>
    <row r="238" customFormat="false" ht="15" hidden="false" customHeight="true" outlineLevel="0" collapsed="false">
      <c r="A238" s="7" t="s">
        <v>63</v>
      </c>
      <c r="B238" s="7" t="s">
        <v>72</v>
      </c>
      <c r="C238" s="7" t="s">
        <v>69</v>
      </c>
      <c r="D238" s="8" t="n">
        <v>154212.1</v>
      </c>
      <c r="E238" s="9" t="n">
        <v>0.11</v>
      </c>
      <c r="F238" s="9" t="n">
        <v>0.54</v>
      </c>
      <c r="G238" s="10" t="n">
        <f aca="false">D238*(1-E238)</f>
        <v>137248.769</v>
      </c>
      <c r="H238" s="10" t="n">
        <f aca="false">G238*F238</f>
        <v>74114.33526</v>
      </c>
      <c r="I238" s="10" t="n">
        <f aca="false">G238-H238</f>
        <v>63134.43374</v>
      </c>
      <c r="J238" s="8" t="n">
        <v>155548.97</v>
      </c>
      <c r="K238" s="9" t="n">
        <v>0.1099</v>
      </c>
      <c r="L238" s="9" t="n">
        <v>0.5277</v>
      </c>
      <c r="M238" s="10" t="n">
        <f aca="false">J238*(1-K238)</f>
        <v>138454.138197</v>
      </c>
      <c r="N238" s="10" t="n">
        <f aca="false">M238*L238</f>
        <v>73062.2487265569</v>
      </c>
      <c r="O238" s="10" t="n">
        <f aca="false">M238-N238</f>
        <v>65391.8894704431</v>
      </c>
      <c r="P238" s="10" t="n">
        <f aca="false">O238-I238</f>
        <v>2257.45573044311</v>
      </c>
      <c r="Q238" s="10" t="n">
        <f aca="false">(J238-D238)*(1-E238)*(1-F238)</f>
        <v>547.314577999998</v>
      </c>
      <c r="R238" s="10" t="n">
        <f aca="false">J238*(E238-K238)*(1-F238)</f>
        <v>7.15525262000021</v>
      </c>
      <c r="S238" s="10" t="n">
        <f aca="false">M238*(F238-L238)</f>
        <v>1702.98589982311</v>
      </c>
      <c r="T238" s="10" t="n">
        <f aca="false">ROUND(P238-(Q238+R238+S238),2)</f>
        <v>0</v>
      </c>
    </row>
    <row r="239" customFormat="false" ht="15" hidden="false" customHeight="true" outlineLevel="0" collapsed="false">
      <c r="A239" s="7" t="s">
        <v>64</v>
      </c>
      <c r="B239" s="7" t="s">
        <v>72</v>
      </c>
      <c r="C239" s="7" t="s">
        <v>69</v>
      </c>
      <c r="D239" s="8" t="n">
        <v>162669.71</v>
      </c>
      <c r="E239" s="9" t="n">
        <v>0.11</v>
      </c>
      <c r="F239" s="9" t="n">
        <v>0.54</v>
      </c>
      <c r="G239" s="10" t="n">
        <f aca="false">D239*(1-E239)</f>
        <v>144776.0419</v>
      </c>
      <c r="H239" s="10" t="n">
        <f aca="false">G239*F239</f>
        <v>78179.062626</v>
      </c>
      <c r="I239" s="10" t="n">
        <f aca="false">G239-H239</f>
        <v>66596.979274</v>
      </c>
      <c r="J239" s="8" t="n">
        <v>171854.2</v>
      </c>
      <c r="K239" s="9" t="n">
        <v>0.0999</v>
      </c>
      <c r="L239" s="9" t="n">
        <v>0.5355</v>
      </c>
      <c r="M239" s="10" t="n">
        <f aca="false">J239*(1-K239)</f>
        <v>154685.96542</v>
      </c>
      <c r="N239" s="10" t="n">
        <f aca="false">M239*L239</f>
        <v>82834.33448241</v>
      </c>
      <c r="O239" s="10" t="n">
        <f aca="false">M239-N239</f>
        <v>71851.63093759</v>
      </c>
      <c r="P239" s="10" t="n">
        <f aca="false">O239-I239</f>
        <v>5254.65166359003</v>
      </c>
      <c r="Q239" s="10" t="n">
        <f aca="false">(J239-D239)*(1-E239)*(1-F239)</f>
        <v>3760.13020600001</v>
      </c>
      <c r="R239" s="10" t="n">
        <f aca="false">J239*(E239-K239)*(1-F239)</f>
        <v>798.4346132</v>
      </c>
      <c r="S239" s="10" t="n">
        <f aca="false">M239*(F239-L239)</f>
        <v>696.086844390009</v>
      </c>
      <c r="T239" s="10" t="n">
        <f aca="false">ROUND(P239-(Q239+R239+S239),2)</f>
        <v>0</v>
      </c>
    </row>
    <row r="240" customFormat="false" ht="15" hidden="false" customHeight="true" outlineLevel="0" collapsed="false">
      <c r="A240" s="7" t="s">
        <v>65</v>
      </c>
      <c r="B240" s="7" t="s">
        <v>72</v>
      </c>
      <c r="C240" s="7" t="s">
        <v>69</v>
      </c>
      <c r="D240" s="8" t="n">
        <v>193562.77</v>
      </c>
      <c r="E240" s="9" t="n">
        <v>0.11</v>
      </c>
      <c r="F240" s="9" t="n">
        <v>0.54</v>
      </c>
      <c r="G240" s="10" t="n">
        <f aca="false">D240*(1-E240)</f>
        <v>172270.8653</v>
      </c>
      <c r="H240" s="10" t="n">
        <f aca="false">G240*F240</f>
        <v>93026.267262</v>
      </c>
      <c r="I240" s="10" t="n">
        <f aca="false">G240-H240</f>
        <v>79244.598038</v>
      </c>
      <c r="J240" s="8" t="n">
        <v>184593.66</v>
      </c>
      <c r="K240" s="9" t="n">
        <v>0.0935</v>
      </c>
      <c r="L240" s="9" t="n">
        <v>0.5369</v>
      </c>
      <c r="M240" s="10" t="n">
        <f aca="false">J240*(1-K240)</f>
        <v>167334.15279</v>
      </c>
      <c r="N240" s="10" t="n">
        <f aca="false">M240*L240</f>
        <v>89841.706632951</v>
      </c>
      <c r="O240" s="10" t="n">
        <f aca="false">M240-N240</f>
        <v>77492.446157049</v>
      </c>
      <c r="P240" s="10" t="n">
        <f aca="false">O240-I240</f>
        <v>-1752.151880951</v>
      </c>
      <c r="Q240" s="10" t="n">
        <f aca="false">(J240-D240)*(1-E240)*(1-F240)</f>
        <v>-3671.95363399999</v>
      </c>
      <c r="R240" s="10" t="n">
        <f aca="false">J240*(E240-K240)*(1-F240)</f>
        <v>1401.0658794</v>
      </c>
      <c r="S240" s="10" t="n">
        <f aca="false">M240*(F240-L240)</f>
        <v>518.735873648999</v>
      </c>
      <c r="T240" s="10" t="n">
        <f aca="false">ROUND(P240-(Q240+R240+S240),2)</f>
        <v>-0</v>
      </c>
    </row>
    <row r="241" customFormat="false" ht="15" hidden="false" customHeight="true" outlineLevel="0" collapsed="false">
      <c r="A241" s="7" t="s">
        <v>66</v>
      </c>
      <c r="B241" s="7" t="s">
        <v>72</v>
      </c>
      <c r="C241" s="7" t="s">
        <v>69</v>
      </c>
      <c r="D241" s="8" t="n">
        <v>182886.94</v>
      </c>
      <c r="E241" s="9" t="n">
        <v>0.11</v>
      </c>
      <c r="F241" s="9" t="n">
        <v>0.54</v>
      </c>
      <c r="G241" s="10" t="n">
        <f aca="false">D241*(1-E241)</f>
        <v>162769.3766</v>
      </c>
      <c r="H241" s="10" t="n">
        <f aca="false">G241*F241</f>
        <v>87895.463364</v>
      </c>
      <c r="I241" s="10" t="n">
        <f aca="false">G241-H241</f>
        <v>74873.913236</v>
      </c>
      <c r="J241" s="8" t="n">
        <v>202097.06</v>
      </c>
      <c r="K241" s="9" t="n">
        <v>0.1012</v>
      </c>
      <c r="L241" s="9" t="n">
        <v>0.5223</v>
      </c>
      <c r="M241" s="10" t="n">
        <f aca="false">J241*(1-K241)</f>
        <v>181644.837528</v>
      </c>
      <c r="N241" s="10" t="n">
        <f aca="false">M241*L241</f>
        <v>94873.0986408744</v>
      </c>
      <c r="O241" s="10" t="n">
        <f aca="false">M241-N241</f>
        <v>86771.7388871256</v>
      </c>
      <c r="P241" s="10" t="n">
        <f aca="false">O241-I241</f>
        <v>11897.8256511256</v>
      </c>
      <c r="Q241" s="10" t="n">
        <f aca="false">(J241-D241)*(1-E241)*(1-F241)</f>
        <v>7864.623128</v>
      </c>
      <c r="R241" s="10" t="n">
        <f aca="false">J241*(E241-K241)*(1-F241)</f>
        <v>818.08889888</v>
      </c>
      <c r="S241" s="10" t="n">
        <f aca="false">M241*(F241-L241)</f>
        <v>3215.11362424561</v>
      </c>
      <c r="T241" s="10" t="n">
        <f aca="false">ROUND(P241-(Q241+R241+S241),2)</f>
        <v>0</v>
      </c>
    </row>
    <row r="242" customFormat="false" ht="15" hidden="false" customHeight="true" outlineLevel="0" collapsed="false">
      <c r="A242" s="7" t="s">
        <v>41</v>
      </c>
      <c r="B242" s="7" t="s">
        <v>72</v>
      </c>
      <c r="C242" s="7" t="s">
        <v>70</v>
      </c>
      <c r="D242" s="8" t="n">
        <v>85530.55</v>
      </c>
      <c r="E242" s="9" t="n">
        <v>0.13</v>
      </c>
      <c r="F242" s="9" t="n">
        <v>0.6</v>
      </c>
      <c r="G242" s="10" t="n">
        <f aca="false">D242*(1-E242)</f>
        <v>74411.5785</v>
      </c>
      <c r="H242" s="10" t="n">
        <f aca="false">G242*F242</f>
        <v>44646.9471</v>
      </c>
      <c r="I242" s="10" t="n">
        <f aca="false">G242-H242</f>
        <v>29764.6314</v>
      </c>
      <c r="J242" s="8" t="n">
        <v>86768.06</v>
      </c>
      <c r="K242" s="9" t="n">
        <v>0.1532</v>
      </c>
      <c r="L242" s="9" t="n">
        <v>0.5976</v>
      </c>
      <c r="M242" s="10" t="n">
        <f aca="false">J242*(1-K242)</f>
        <v>73475.193208</v>
      </c>
      <c r="N242" s="10" t="n">
        <f aca="false">M242*L242</f>
        <v>43908.7754611008</v>
      </c>
      <c r="O242" s="10" t="n">
        <f aca="false">M242-N242</f>
        <v>29566.4177468992</v>
      </c>
      <c r="P242" s="10" t="n">
        <f aca="false">O242-I242</f>
        <v>-198.213653100807</v>
      </c>
      <c r="Q242" s="10" t="n">
        <f aca="false">(J242-D242)*(1-E242)*(1-F242)</f>
        <v>430.653479999998</v>
      </c>
      <c r="R242" s="10" t="n">
        <f aca="false">J242*(E242-K242)*(1-F242)</f>
        <v>-805.2075968</v>
      </c>
      <c r="S242" s="10" t="n">
        <f aca="false">M242*(F242-L242)</f>
        <v>176.340463699197</v>
      </c>
      <c r="T242" s="10" t="n">
        <f aca="false">ROUND(P242-(Q242+R242+S242),2)</f>
        <v>-0</v>
      </c>
    </row>
    <row r="243" customFormat="false" ht="15" hidden="false" customHeight="true" outlineLevel="0" collapsed="false">
      <c r="A243" s="7" t="s">
        <v>44</v>
      </c>
      <c r="B243" s="7" t="s">
        <v>72</v>
      </c>
      <c r="C243" s="7" t="s">
        <v>70</v>
      </c>
      <c r="D243" s="8" t="n">
        <v>84298.91</v>
      </c>
      <c r="E243" s="9" t="n">
        <v>0.13</v>
      </c>
      <c r="F243" s="9" t="n">
        <v>0.6</v>
      </c>
      <c r="G243" s="10" t="n">
        <f aca="false">D243*(1-E243)</f>
        <v>73340.0517</v>
      </c>
      <c r="H243" s="10" t="n">
        <f aca="false">G243*F243</f>
        <v>44004.03102</v>
      </c>
      <c r="I243" s="10" t="n">
        <f aca="false">G243-H243</f>
        <v>29336.02068</v>
      </c>
      <c r="J243" s="8" t="n">
        <v>80190.66</v>
      </c>
      <c r="K243" s="9" t="n">
        <v>0.151</v>
      </c>
      <c r="L243" s="9" t="n">
        <v>0.5963</v>
      </c>
      <c r="M243" s="10" t="n">
        <f aca="false">J243*(1-K243)</f>
        <v>68081.87034</v>
      </c>
      <c r="N243" s="10" t="n">
        <f aca="false">M243*L243</f>
        <v>40597.219283742</v>
      </c>
      <c r="O243" s="10" t="n">
        <f aca="false">M243-N243</f>
        <v>27484.651056258</v>
      </c>
      <c r="P243" s="10" t="n">
        <f aca="false">O243-I243</f>
        <v>-1851.36962374201</v>
      </c>
      <c r="Q243" s="10" t="n">
        <f aca="false">(J243-D243)*(1-E243)*(1-F243)</f>
        <v>-1429.671</v>
      </c>
      <c r="R243" s="10" t="n">
        <f aca="false">J243*(E243-K243)*(1-F243)</f>
        <v>-673.601544</v>
      </c>
      <c r="S243" s="10" t="n">
        <f aca="false">M243*(F243-L243)</f>
        <v>251.902920257995</v>
      </c>
      <c r="T243" s="10" t="n">
        <f aca="false">ROUND(P243-(Q243+R243+S243),2)</f>
        <v>0</v>
      </c>
    </row>
    <row r="244" customFormat="false" ht="15" hidden="false" customHeight="true" outlineLevel="0" collapsed="false">
      <c r="A244" s="7" t="s">
        <v>45</v>
      </c>
      <c r="B244" s="7" t="s">
        <v>72</v>
      </c>
      <c r="C244" s="7" t="s">
        <v>70</v>
      </c>
      <c r="D244" s="8" t="n">
        <v>91726.77</v>
      </c>
      <c r="E244" s="9" t="n">
        <v>0.13</v>
      </c>
      <c r="F244" s="9" t="n">
        <v>0.6</v>
      </c>
      <c r="G244" s="10" t="n">
        <f aca="false">D244*(1-E244)</f>
        <v>79802.2899</v>
      </c>
      <c r="H244" s="10" t="n">
        <f aca="false">G244*F244</f>
        <v>47881.37394</v>
      </c>
      <c r="I244" s="10" t="n">
        <f aca="false">G244-H244</f>
        <v>31920.91596</v>
      </c>
      <c r="J244" s="8" t="n">
        <v>82811.39</v>
      </c>
      <c r="K244" s="9" t="n">
        <v>0.1512</v>
      </c>
      <c r="L244" s="9" t="n">
        <v>0.5948</v>
      </c>
      <c r="M244" s="10" t="n">
        <f aca="false">J244*(1-K244)</f>
        <v>70290.307832</v>
      </c>
      <c r="N244" s="10" t="n">
        <f aca="false">M244*L244</f>
        <v>41808.6750984736</v>
      </c>
      <c r="O244" s="10" t="n">
        <f aca="false">M244-N244</f>
        <v>28481.6327335264</v>
      </c>
      <c r="P244" s="10" t="n">
        <f aca="false">O244-I244</f>
        <v>-3439.28322647361</v>
      </c>
      <c r="Q244" s="10" t="n">
        <f aca="false">(J244-D244)*(1-E244)*(1-F244)</f>
        <v>-3102.55224</v>
      </c>
      <c r="R244" s="10" t="n">
        <f aca="false">J244*(E244-K244)*(1-F244)</f>
        <v>-702.2405872</v>
      </c>
      <c r="S244" s="10" t="n">
        <f aca="false">M244*(F244-L244)</f>
        <v>365.509600726399</v>
      </c>
      <c r="T244" s="10" t="n">
        <f aca="false">ROUND(P244-(Q244+R244+S244),2)</f>
        <v>0</v>
      </c>
    </row>
    <row r="245" customFormat="false" ht="15" hidden="false" customHeight="true" outlineLevel="0" collapsed="false">
      <c r="A245" s="7" t="s">
        <v>46</v>
      </c>
      <c r="B245" s="7" t="s">
        <v>72</v>
      </c>
      <c r="C245" s="7" t="s">
        <v>70</v>
      </c>
      <c r="D245" s="8" t="n">
        <v>95368.47</v>
      </c>
      <c r="E245" s="9" t="n">
        <v>0.13</v>
      </c>
      <c r="F245" s="9" t="n">
        <v>0.6</v>
      </c>
      <c r="G245" s="10" t="n">
        <f aca="false">D245*(1-E245)</f>
        <v>82970.5689</v>
      </c>
      <c r="H245" s="10" t="n">
        <f aca="false">G245*F245</f>
        <v>49782.34134</v>
      </c>
      <c r="I245" s="10" t="n">
        <f aca="false">G245-H245</f>
        <v>33188.22756</v>
      </c>
      <c r="J245" s="8" t="n">
        <v>96808.01</v>
      </c>
      <c r="K245" s="9" t="n">
        <v>0.1424</v>
      </c>
      <c r="L245" s="9" t="n">
        <v>0.5864</v>
      </c>
      <c r="M245" s="10" t="n">
        <f aca="false">J245*(1-K245)</f>
        <v>83022.549376</v>
      </c>
      <c r="N245" s="10" t="n">
        <f aca="false">M245*L245</f>
        <v>48684.4229540864</v>
      </c>
      <c r="O245" s="10" t="n">
        <f aca="false">M245-N245</f>
        <v>34338.1264219136</v>
      </c>
      <c r="P245" s="10" t="n">
        <f aca="false">O245-I245</f>
        <v>1149.89886191359</v>
      </c>
      <c r="Q245" s="10" t="n">
        <f aca="false">(J245-D245)*(1-E245)*(1-F245)</f>
        <v>500.959919999998</v>
      </c>
      <c r="R245" s="10" t="n">
        <f aca="false">J245*(E245-K245)*(1-F245)</f>
        <v>-480.1677296</v>
      </c>
      <c r="S245" s="10" t="n">
        <f aca="false">M245*(F245-L245)</f>
        <v>1129.1066715136</v>
      </c>
      <c r="T245" s="10" t="n">
        <f aca="false">ROUND(P245-(Q245+R245+S245),2)</f>
        <v>0</v>
      </c>
    </row>
    <row r="246" customFormat="false" ht="15" hidden="false" customHeight="true" outlineLevel="0" collapsed="false">
      <c r="A246" s="7" t="s">
        <v>47</v>
      </c>
      <c r="B246" s="7" t="s">
        <v>72</v>
      </c>
      <c r="C246" s="7" t="s">
        <v>70</v>
      </c>
      <c r="D246" s="8" t="n">
        <v>98075.03</v>
      </c>
      <c r="E246" s="9" t="n">
        <v>0.13</v>
      </c>
      <c r="F246" s="9" t="n">
        <v>0.6</v>
      </c>
      <c r="G246" s="10" t="n">
        <f aca="false">D246*(1-E246)</f>
        <v>85325.2761</v>
      </c>
      <c r="H246" s="10" t="n">
        <f aca="false">G246*F246</f>
        <v>51195.16566</v>
      </c>
      <c r="I246" s="10" t="n">
        <f aca="false">G246-H246</f>
        <v>34130.11044</v>
      </c>
      <c r="J246" s="8" t="n">
        <v>101930.01</v>
      </c>
      <c r="K246" s="9" t="n">
        <v>0.1407</v>
      </c>
      <c r="L246" s="9" t="n">
        <v>0.6004</v>
      </c>
      <c r="M246" s="10" t="n">
        <f aca="false">J246*(1-K246)</f>
        <v>87588.457593</v>
      </c>
      <c r="N246" s="10" t="n">
        <f aca="false">M246*L246</f>
        <v>52588.1099388372</v>
      </c>
      <c r="O246" s="10" t="n">
        <f aca="false">M246-N246</f>
        <v>35000.3476541628</v>
      </c>
      <c r="P246" s="10" t="n">
        <f aca="false">O246-I246</f>
        <v>870.237214162786</v>
      </c>
      <c r="Q246" s="10" t="n">
        <f aca="false">(J246-D246)*(1-E246)*(1-F246)</f>
        <v>1341.53304</v>
      </c>
      <c r="R246" s="10" t="n">
        <f aca="false">J246*(E246-K246)*(1-F246)</f>
        <v>-436.260442799999</v>
      </c>
      <c r="S246" s="10" t="n">
        <f aca="false">M246*(F246-L246)</f>
        <v>-35.0353830372059</v>
      </c>
      <c r="T246" s="10" t="n">
        <f aca="false">ROUND(P246-(Q246+R246+S246),2)</f>
        <v>-0</v>
      </c>
    </row>
    <row r="247" customFormat="false" ht="15" hidden="false" customHeight="true" outlineLevel="0" collapsed="false">
      <c r="A247" s="7" t="s">
        <v>48</v>
      </c>
      <c r="B247" s="7" t="s">
        <v>72</v>
      </c>
      <c r="C247" s="7" t="s">
        <v>70</v>
      </c>
      <c r="D247" s="8" t="n">
        <v>100812.01</v>
      </c>
      <c r="E247" s="9" t="n">
        <v>0.13</v>
      </c>
      <c r="F247" s="9" t="n">
        <v>0.6</v>
      </c>
      <c r="G247" s="10" t="n">
        <f aca="false">D247*(1-E247)</f>
        <v>87706.4487</v>
      </c>
      <c r="H247" s="10" t="n">
        <f aca="false">G247*F247</f>
        <v>52623.86922</v>
      </c>
      <c r="I247" s="10" t="n">
        <f aca="false">G247-H247</f>
        <v>35082.57948</v>
      </c>
      <c r="J247" s="8" t="n">
        <v>99165.48</v>
      </c>
      <c r="K247" s="9" t="n">
        <v>0.1606</v>
      </c>
      <c r="L247" s="9" t="n">
        <v>0.6243</v>
      </c>
      <c r="M247" s="10" t="n">
        <f aca="false">J247*(1-K247)</f>
        <v>83239.503912</v>
      </c>
      <c r="N247" s="10" t="n">
        <f aca="false">M247*L247</f>
        <v>51966.4222922616</v>
      </c>
      <c r="O247" s="10" t="n">
        <f aca="false">M247-N247</f>
        <v>31273.0816197384</v>
      </c>
      <c r="P247" s="10" t="n">
        <f aca="false">O247-I247</f>
        <v>-3809.4978602616</v>
      </c>
      <c r="Q247" s="10" t="n">
        <f aca="false">(J247-D247)*(1-E247)*(1-F247)</f>
        <v>-572.99244</v>
      </c>
      <c r="R247" s="10" t="n">
        <f aca="false">J247*(E247-K247)*(1-F247)</f>
        <v>-1213.7854752</v>
      </c>
      <c r="S247" s="10" t="n">
        <f aca="false">M247*(F247-L247)</f>
        <v>-2022.7199450616</v>
      </c>
      <c r="T247" s="10" t="n">
        <f aca="false">ROUND(P247-(Q247+R247+S247),2)</f>
        <v>0</v>
      </c>
    </row>
    <row r="248" customFormat="false" ht="15" hidden="false" customHeight="true" outlineLevel="0" collapsed="false">
      <c r="A248" s="7" t="s">
        <v>49</v>
      </c>
      <c r="B248" s="7" t="s">
        <v>72</v>
      </c>
      <c r="C248" s="7" t="s">
        <v>70</v>
      </c>
      <c r="D248" s="8" t="n">
        <v>99595.58</v>
      </c>
      <c r="E248" s="9" t="n">
        <v>0.13</v>
      </c>
      <c r="F248" s="9" t="n">
        <v>0.6</v>
      </c>
      <c r="G248" s="10" t="n">
        <f aca="false">D248*(1-E248)</f>
        <v>86648.1546</v>
      </c>
      <c r="H248" s="10" t="n">
        <f aca="false">G248*F248</f>
        <v>51988.89276</v>
      </c>
      <c r="I248" s="10" t="n">
        <f aca="false">G248-H248</f>
        <v>34659.26184</v>
      </c>
      <c r="J248" s="8" t="n">
        <v>98580.53</v>
      </c>
      <c r="K248" s="9" t="n">
        <v>0.1627</v>
      </c>
      <c r="L248" s="9" t="n">
        <v>0.5967</v>
      </c>
      <c r="M248" s="10" t="n">
        <f aca="false">J248*(1-K248)</f>
        <v>82541.477769</v>
      </c>
      <c r="N248" s="10" t="n">
        <f aca="false">M248*L248</f>
        <v>49252.4997847623</v>
      </c>
      <c r="O248" s="10" t="n">
        <f aca="false">M248-N248</f>
        <v>33288.9779842377</v>
      </c>
      <c r="P248" s="10" t="n">
        <f aca="false">O248-I248</f>
        <v>-1370.2838557623</v>
      </c>
      <c r="Q248" s="10" t="n">
        <f aca="false">(J248-D248)*(1-E248)*(1-F248)</f>
        <v>-353.237400000001</v>
      </c>
      <c r="R248" s="10" t="n">
        <f aca="false">J248*(E248-K248)*(1-F248)</f>
        <v>-1289.4333324</v>
      </c>
      <c r="S248" s="10" t="n">
        <f aca="false">M248*(F248-L248)</f>
        <v>272.386876637697</v>
      </c>
      <c r="T248" s="10" t="n">
        <f aca="false">ROUND(P248-(Q248+R248+S248),2)</f>
        <v>0</v>
      </c>
    </row>
    <row r="249" customFormat="false" ht="15" hidden="false" customHeight="true" outlineLevel="0" collapsed="false">
      <c r="A249" s="7" t="s">
        <v>50</v>
      </c>
      <c r="B249" s="7" t="s">
        <v>72</v>
      </c>
      <c r="C249" s="7" t="s">
        <v>70</v>
      </c>
      <c r="D249" s="8" t="n">
        <v>103366.52</v>
      </c>
      <c r="E249" s="9" t="n">
        <v>0.13</v>
      </c>
      <c r="F249" s="9" t="n">
        <v>0.6</v>
      </c>
      <c r="G249" s="10" t="n">
        <f aca="false">D249*(1-E249)</f>
        <v>89928.8724</v>
      </c>
      <c r="H249" s="10" t="n">
        <f aca="false">G249*F249</f>
        <v>53957.32344</v>
      </c>
      <c r="I249" s="10" t="n">
        <f aca="false">G249-H249</f>
        <v>35971.54896</v>
      </c>
      <c r="J249" s="8" t="n">
        <v>101381.46</v>
      </c>
      <c r="K249" s="9" t="n">
        <v>0.1281</v>
      </c>
      <c r="L249" s="9" t="n">
        <v>0.5966</v>
      </c>
      <c r="M249" s="10" t="n">
        <f aca="false">J249*(1-K249)</f>
        <v>88394.494974</v>
      </c>
      <c r="N249" s="10" t="n">
        <f aca="false">M249*L249</f>
        <v>52736.1557014884</v>
      </c>
      <c r="O249" s="10" t="n">
        <f aca="false">M249-N249</f>
        <v>35658.3392725116</v>
      </c>
      <c r="P249" s="10" t="n">
        <f aca="false">O249-I249</f>
        <v>-313.209687488408</v>
      </c>
      <c r="Q249" s="10" t="n">
        <f aca="false">(J249-D249)*(1-E249)*(1-F249)</f>
        <v>-690.800879999999</v>
      </c>
      <c r="R249" s="10" t="n">
        <f aca="false">J249*(E249-K249)*(1-F249)</f>
        <v>77.0499096000005</v>
      </c>
      <c r="S249" s="10" t="n">
        <f aca="false">M249*(F249-L249)</f>
        <v>300.541282911596</v>
      </c>
      <c r="T249" s="10" t="n">
        <f aca="false">ROUND(P249-(Q249+R249+S249),2)</f>
        <v>-0</v>
      </c>
    </row>
    <row r="250" customFormat="false" ht="15" hidden="false" customHeight="true" outlineLevel="0" collapsed="false">
      <c r="A250" s="7" t="s">
        <v>51</v>
      </c>
      <c r="B250" s="7" t="s">
        <v>72</v>
      </c>
      <c r="C250" s="7" t="s">
        <v>70</v>
      </c>
      <c r="D250" s="8" t="n">
        <v>106171.93</v>
      </c>
      <c r="E250" s="9" t="n">
        <v>0.13</v>
      </c>
      <c r="F250" s="9" t="n">
        <v>0.6</v>
      </c>
      <c r="G250" s="10" t="n">
        <f aca="false">D250*(1-E250)</f>
        <v>92369.5791</v>
      </c>
      <c r="H250" s="10" t="n">
        <f aca="false">G250*F250</f>
        <v>55421.74746</v>
      </c>
      <c r="I250" s="10" t="n">
        <f aca="false">G250-H250</f>
        <v>36947.83164</v>
      </c>
      <c r="J250" s="8" t="n">
        <v>109603.87</v>
      </c>
      <c r="K250" s="9" t="n">
        <v>0.1359</v>
      </c>
      <c r="L250" s="9" t="n">
        <v>0.6054</v>
      </c>
      <c r="M250" s="10" t="n">
        <f aca="false">J250*(1-K250)</f>
        <v>94708.704067</v>
      </c>
      <c r="N250" s="10" t="n">
        <f aca="false">M250*L250</f>
        <v>57336.6494421618</v>
      </c>
      <c r="O250" s="10" t="n">
        <f aca="false">M250-N250</f>
        <v>37372.0546248382</v>
      </c>
      <c r="P250" s="10" t="n">
        <f aca="false">O250-I250</f>
        <v>424.222984838198</v>
      </c>
      <c r="Q250" s="10" t="n">
        <f aca="false">(J250-D250)*(1-E250)*(1-F250)</f>
        <v>1194.31512</v>
      </c>
      <c r="R250" s="10" t="n">
        <f aca="false">J250*(E250-K250)*(1-F250)</f>
        <v>-258.6651332</v>
      </c>
      <c r="S250" s="10" t="n">
        <f aca="false">M250*(F250-L250)</f>
        <v>-511.427001961807</v>
      </c>
      <c r="T250" s="10" t="n">
        <f aca="false">ROUND(P250-(Q250+R250+S250),2)</f>
        <v>0</v>
      </c>
    </row>
    <row r="251" customFormat="false" ht="15" hidden="false" customHeight="true" outlineLevel="0" collapsed="false">
      <c r="A251" s="7" t="s">
        <v>52</v>
      </c>
      <c r="B251" s="7" t="s">
        <v>72</v>
      </c>
      <c r="C251" s="7" t="s">
        <v>70</v>
      </c>
      <c r="D251" s="8" t="n">
        <v>112064.03</v>
      </c>
      <c r="E251" s="9" t="n">
        <v>0.13</v>
      </c>
      <c r="F251" s="9" t="n">
        <v>0.6</v>
      </c>
      <c r="G251" s="10" t="n">
        <f aca="false">D251*(1-E251)</f>
        <v>97495.7061</v>
      </c>
      <c r="H251" s="10" t="n">
        <f aca="false">G251*F251</f>
        <v>58497.42366</v>
      </c>
      <c r="I251" s="10" t="n">
        <f aca="false">G251-H251</f>
        <v>38998.28244</v>
      </c>
      <c r="J251" s="8" t="n">
        <v>113837.33</v>
      </c>
      <c r="K251" s="9" t="n">
        <v>0.1385</v>
      </c>
      <c r="L251" s="9" t="n">
        <v>0.5875</v>
      </c>
      <c r="M251" s="10" t="n">
        <f aca="false">J251*(1-K251)</f>
        <v>98070.859795</v>
      </c>
      <c r="N251" s="10" t="n">
        <f aca="false">M251*L251</f>
        <v>57616.6301295625</v>
      </c>
      <c r="O251" s="10" t="n">
        <f aca="false">M251-N251</f>
        <v>40454.2296654375</v>
      </c>
      <c r="P251" s="10" t="n">
        <f aca="false">O251-I251</f>
        <v>1455.94722543749</v>
      </c>
      <c r="Q251" s="10" t="n">
        <f aca="false">(J251-D251)*(1-E251)*(1-F251)</f>
        <v>617.108400000001</v>
      </c>
      <c r="R251" s="10" t="n">
        <f aca="false">J251*(E251-K251)*(1-F251)</f>
        <v>-387.046922</v>
      </c>
      <c r="S251" s="10" t="n">
        <f aca="false">M251*(F251-L251)</f>
        <v>1225.8857474375</v>
      </c>
      <c r="T251" s="10" t="n">
        <f aca="false">ROUND(P251-(Q251+R251+S251),2)</f>
        <v>0</v>
      </c>
    </row>
    <row r="252" customFormat="false" ht="15" hidden="false" customHeight="true" outlineLevel="0" collapsed="false">
      <c r="A252" s="7" t="s">
        <v>53</v>
      </c>
      <c r="B252" s="7" t="s">
        <v>72</v>
      </c>
      <c r="C252" s="7" t="s">
        <v>70</v>
      </c>
      <c r="D252" s="8" t="n">
        <v>133427.66</v>
      </c>
      <c r="E252" s="9" t="n">
        <v>0.13</v>
      </c>
      <c r="F252" s="9" t="n">
        <v>0.6</v>
      </c>
      <c r="G252" s="10" t="n">
        <f aca="false">D252*(1-E252)</f>
        <v>116082.0642</v>
      </c>
      <c r="H252" s="10" t="n">
        <f aca="false">G252*F252</f>
        <v>69649.23852</v>
      </c>
      <c r="I252" s="10" t="n">
        <f aca="false">G252-H252</f>
        <v>46432.82568</v>
      </c>
      <c r="J252" s="8" t="n">
        <v>123730.7</v>
      </c>
      <c r="K252" s="9" t="n">
        <v>0.1514</v>
      </c>
      <c r="L252" s="9" t="n">
        <v>0.6027</v>
      </c>
      <c r="M252" s="10" t="n">
        <f aca="false">J252*(1-K252)</f>
        <v>104997.87202</v>
      </c>
      <c r="N252" s="10" t="n">
        <f aca="false">M252*L252</f>
        <v>63282.217466454</v>
      </c>
      <c r="O252" s="10" t="n">
        <f aca="false">M252-N252</f>
        <v>41715.654553546</v>
      </c>
      <c r="P252" s="10" t="n">
        <f aca="false">O252-I252</f>
        <v>-4717.17112645401</v>
      </c>
      <c r="Q252" s="10" t="n">
        <f aca="false">(J252-D252)*(1-E252)*(1-F252)</f>
        <v>-3374.54208</v>
      </c>
      <c r="R252" s="10" t="n">
        <f aca="false">J252*(E252-K252)*(1-F252)</f>
        <v>-1059.134792</v>
      </c>
      <c r="S252" s="10" t="n">
        <f aca="false">M252*(F252-L252)</f>
        <v>-283.494254454004</v>
      </c>
      <c r="T252" s="10" t="n">
        <f aca="false">ROUND(P252-(Q252+R252+S252),2)</f>
        <v>0</v>
      </c>
    </row>
    <row r="253" customFormat="false" ht="15" hidden="false" customHeight="true" outlineLevel="0" collapsed="false">
      <c r="A253" s="7" t="s">
        <v>54</v>
      </c>
      <c r="B253" s="7" t="s">
        <v>72</v>
      </c>
      <c r="C253" s="7" t="s">
        <v>70</v>
      </c>
      <c r="D253" s="8" t="n">
        <v>126144.26</v>
      </c>
      <c r="E253" s="9" t="n">
        <v>0.13</v>
      </c>
      <c r="F253" s="9" t="n">
        <v>0.6</v>
      </c>
      <c r="G253" s="10" t="n">
        <f aca="false">D253*(1-E253)</f>
        <v>109745.5062</v>
      </c>
      <c r="H253" s="10" t="n">
        <f aca="false">G253*F253</f>
        <v>65847.30372</v>
      </c>
      <c r="I253" s="10" t="n">
        <f aca="false">G253-H253</f>
        <v>43898.20248</v>
      </c>
      <c r="J253" s="8" t="n">
        <v>129044.29</v>
      </c>
      <c r="K253" s="9" t="n">
        <v>0.1511</v>
      </c>
      <c r="L253" s="9" t="n">
        <v>0.6057</v>
      </c>
      <c r="M253" s="10" t="n">
        <f aca="false">J253*(1-K253)</f>
        <v>109545.697781</v>
      </c>
      <c r="N253" s="10" t="n">
        <f aca="false">M253*L253</f>
        <v>66351.8291459517</v>
      </c>
      <c r="O253" s="10" t="n">
        <f aca="false">M253-N253</f>
        <v>43193.8686350483</v>
      </c>
      <c r="P253" s="10" t="n">
        <f aca="false">O253-I253</f>
        <v>-704.333844951703</v>
      </c>
      <c r="Q253" s="10" t="n">
        <f aca="false">(J253-D253)*(1-E253)*(1-F253)</f>
        <v>1009.21044</v>
      </c>
      <c r="R253" s="10" t="n">
        <f aca="false">J253*(E253-K253)*(1-F253)</f>
        <v>-1089.1338076</v>
      </c>
      <c r="S253" s="10" t="n">
        <f aca="false">M253*(F253-L253)</f>
        <v>-624.410477351704</v>
      </c>
      <c r="T253" s="10" t="n">
        <f aca="false">ROUND(P253-(Q253+R253+S253),2)</f>
        <v>0</v>
      </c>
    </row>
    <row r="254" customFormat="false" ht="15" hidden="false" customHeight="true" outlineLevel="0" collapsed="false">
      <c r="A254" s="7" t="s">
        <v>55</v>
      </c>
      <c r="B254" s="7" t="s">
        <v>72</v>
      </c>
      <c r="C254" s="7" t="s">
        <v>70</v>
      </c>
      <c r="D254" s="8" t="n">
        <v>93741.49</v>
      </c>
      <c r="E254" s="9" t="n">
        <v>0.13</v>
      </c>
      <c r="F254" s="9" t="n">
        <v>0.6</v>
      </c>
      <c r="G254" s="10" t="n">
        <f aca="false">D254*(1-E254)</f>
        <v>81555.0963</v>
      </c>
      <c r="H254" s="10" t="n">
        <f aca="false">G254*F254</f>
        <v>48933.05778</v>
      </c>
      <c r="I254" s="10" t="n">
        <f aca="false">G254-H254</f>
        <v>32622.03852</v>
      </c>
      <c r="J254" s="8" t="n">
        <v>94164.25</v>
      </c>
      <c r="K254" s="9" t="n">
        <v>0.1453</v>
      </c>
      <c r="L254" s="9" t="n">
        <v>0.6127</v>
      </c>
      <c r="M254" s="10" t="n">
        <f aca="false">J254*(1-K254)</f>
        <v>80482.184475</v>
      </c>
      <c r="N254" s="10" t="n">
        <f aca="false">M254*L254</f>
        <v>49311.4344278325</v>
      </c>
      <c r="O254" s="10" t="n">
        <f aca="false">M254-N254</f>
        <v>31170.7500471675</v>
      </c>
      <c r="P254" s="10" t="n">
        <f aca="false">O254-I254</f>
        <v>-1451.2884728325</v>
      </c>
      <c r="Q254" s="10" t="n">
        <f aca="false">(J254-D254)*(1-E254)*(1-F254)</f>
        <v>147.120479999998</v>
      </c>
      <c r="R254" s="10" t="n">
        <f aca="false">J254*(E254-K254)*(1-F254)</f>
        <v>-576.28521</v>
      </c>
      <c r="S254" s="10" t="n">
        <f aca="false">M254*(F254-L254)</f>
        <v>-1022.1237428325</v>
      </c>
      <c r="T254" s="10" t="n">
        <f aca="false">ROUND(P254-(Q254+R254+S254),2)</f>
        <v>0</v>
      </c>
    </row>
    <row r="255" customFormat="false" ht="15" hidden="false" customHeight="true" outlineLevel="0" collapsed="false">
      <c r="A255" s="7" t="s">
        <v>56</v>
      </c>
      <c r="B255" s="7" t="s">
        <v>72</v>
      </c>
      <c r="C255" s="7" t="s">
        <v>70</v>
      </c>
      <c r="D255" s="8" t="n">
        <v>92327.38</v>
      </c>
      <c r="E255" s="9" t="n">
        <v>0.13</v>
      </c>
      <c r="F255" s="9" t="n">
        <v>0.6</v>
      </c>
      <c r="G255" s="10" t="n">
        <f aca="false">D255*(1-E255)</f>
        <v>80324.8206</v>
      </c>
      <c r="H255" s="10" t="n">
        <f aca="false">G255*F255</f>
        <v>48194.89236</v>
      </c>
      <c r="I255" s="10" t="n">
        <f aca="false">G255-H255</f>
        <v>32129.92824</v>
      </c>
      <c r="J255" s="8" t="n">
        <v>94630.4</v>
      </c>
      <c r="K255" s="9" t="n">
        <v>0.1511</v>
      </c>
      <c r="L255" s="9" t="n">
        <v>0.6063</v>
      </c>
      <c r="M255" s="10" t="n">
        <f aca="false">J255*(1-K255)</f>
        <v>80331.74656</v>
      </c>
      <c r="N255" s="10" t="n">
        <f aca="false">M255*L255</f>
        <v>48705.137939328</v>
      </c>
      <c r="O255" s="10" t="n">
        <f aca="false">M255-N255</f>
        <v>31626.608620672</v>
      </c>
      <c r="P255" s="10" t="n">
        <f aca="false">O255-I255</f>
        <v>-503.319619327995</v>
      </c>
      <c r="Q255" s="10" t="n">
        <f aca="false">(J255-D255)*(1-E255)*(1-F255)</f>
        <v>801.450959999997</v>
      </c>
      <c r="R255" s="10" t="n">
        <f aca="false">J255*(E255-K255)*(1-F255)</f>
        <v>-798.680576</v>
      </c>
      <c r="S255" s="10" t="n">
        <f aca="false">M255*(F255-L255)</f>
        <v>-506.090003327998</v>
      </c>
      <c r="T255" s="10" t="n">
        <f aca="false">ROUND(P255-(Q255+R255+S255),2)</f>
        <v>0</v>
      </c>
    </row>
    <row r="256" customFormat="false" ht="15" hidden="false" customHeight="true" outlineLevel="0" collapsed="false">
      <c r="A256" s="7" t="s">
        <v>57</v>
      </c>
      <c r="B256" s="7" t="s">
        <v>72</v>
      </c>
      <c r="C256" s="7" t="s">
        <v>70</v>
      </c>
      <c r="D256" s="8" t="n">
        <v>100393.86</v>
      </c>
      <c r="E256" s="9" t="n">
        <v>0.13</v>
      </c>
      <c r="F256" s="9" t="n">
        <v>0.6</v>
      </c>
      <c r="G256" s="10" t="n">
        <f aca="false">D256*(1-E256)</f>
        <v>87342.6582</v>
      </c>
      <c r="H256" s="10" t="n">
        <f aca="false">G256*F256</f>
        <v>52405.59492</v>
      </c>
      <c r="I256" s="10" t="n">
        <f aca="false">G256-H256</f>
        <v>34937.06328</v>
      </c>
      <c r="J256" s="8" t="n">
        <v>96200.75</v>
      </c>
      <c r="K256" s="9" t="n">
        <v>0.1651</v>
      </c>
      <c r="L256" s="9" t="n">
        <v>0.6075</v>
      </c>
      <c r="M256" s="10" t="n">
        <f aca="false">J256*(1-K256)</f>
        <v>80318.006175</v>
      </c>
      <c r="N256" s="10" t="n">
        <f aca="false">M256*L256</f>
        <v>48793.1887513125</v>
      </c>
      <c r="O256" s="10" t="n">
        <f aca="false">M256-N256</f>
        <v>31524.8174236875</v>
      </c>
      <c r="P256" s="10" t="n">
        <f aca="false">O256-I256</f>
        <v>-3412.2458563125</v>
      </c>
      <c r="Q256" s="10" t="n">
        <f aca="false">(J256-D256)*(1-E256)*(1-F256)</f>
        <v>-1459.20228</v>
      </c>
      <c r="R256" s="10" t="n">
        <f aca="false">J256*(E256-K256)*(1-F256)</f>
        <v>-1350.65853</v>
      </c>
      <c r="S256" s="10" t="n">
        <f aca="false">M256*(F256-L256)</f>
        <v>-602.385046312505</v>
      </c>
      <c r="T256" s="10" t="n">
        <f aca="false">ROUND(P256-(Q256+R256+S256),2)</f>
        <v>0</v>
      </c>
    </row>
    <row r="257" customFormat="false" ht="15" hidden="false" customHeight="true" outlineLevel="0" collapsed="false">
      <c r="A257" s="7" t="s">
        <v>58</v>
      </c>
      <c r="B257" s="7" t="s">
        <v>72</v>
      </c>
      <c r="C257" s="7" t="s">
        <v>70</v>
      </c>
      <c r="D257" s="8" t="n">
        <v>104309.26</v>
      </c>
      <c r="E257" s="9" t="n">
        <v>0.13</v>
      </c>
      <c r="F257" s="9" t="n">
        <v>0.6</v>
      </c>
      <c r="G257" s="10" t="n">
        <f aca="false">D257*(1-E257)</f>
        <v>90749.0562</v>
      </c>
      <c r="H257" s="10" t="n">
        <f aca="false">G257*F257</f>
        <v>54449.43372</v>
      </c>
      <c r="I257" s="10" t="n">
        <f aca="false">G257-H257</f>
        <v>36299.62248</v>
      </c>
      <c r="J257" s="8" t="n">
        <v>108855.68</v>
      </c>
      <c r="K257" s="9" t="n">
        <v>0.1904</v>
      </c>
      <c r="L257" s="9" t="n">
        <v>0.6044</v>
      </c>
      <c r="M257" s="10" t="n">
        <f aca="false">J257*(1-K257)</f>
        <v>88129.558528</v>
      </c>
      <c r="N257" s="10" t="n">
        <f aca="false">M257*L257</f>
        <v>53265.5051743232</v>
      </c>
      <c r="O257" s="10" t="n">
        <f aca="false">M257-N257</f>
        <v>34864.0533536768</v>
      </c>
      <c r="P257" s="10" t="n">
        <f aca="false">O257-I257</f>
        <v>-1435.56912632321</v>
      </c>
      <c r="Q257" s="10" t="n">
        <f aca="false">(J257-D257)*(1-E257)*(1-F257)</f>
        <v>1582.15416</v>
      </c>
      <c r="R257" s="10" t="n">
        <f aca="false">J257*(E257-K257)*(1-F257)</f>
        <v>-2629.9532288</v>
      </c>
      <c r="S257" s="10" t="n">
        <f aca="false">M257*(F257-L257)</f>
        <v>-387.770057523206</v>
      </c>
      <c r="T257" s="10" t="n">
        <f aca="false">ROUND(P257-(Q257+R257+S257),2)</f>
        <v>0</v>
      </c>
    </row>
    <row r="258" customFormat="false" ht="15" hidden="false" customHeight="true" outlineLevel="0" collapsed="false">
      <c r="A258" s="7" t="s">
        <v>59</v>
      </c>
      <c r="B258" s="7" t="s">
        <v>72</v>
      </c>
      <c r="C258" s="7" t="s">
        <v>70</v>
      </c>
      <c r="D258" s="8" t="n">
        <v>107198.29</v>
      </c>
      <c r="E258" s="9" t="n">
        <v>0.13</v>
      </c>
      <c r="F258" s="9" t="n">
        <v>0.6</v>
      </c>
      <c r="G258" s="10" t="n">
        <f aca="false">D258*(1-E258)</f>
        <v>93262.5123</v>
      </c>
      <c r="H258" s="10" t="n">
        <f aca="false">G258*F258</f>
        <v>55957.50738</v>
      </c>
      <c r="I258" s="10" t="n">
        <f aca="false">G258-H258</f>
        <v>37305.00492</v>
      </c>
      <c r="J258" s="8" t="n">
        <v>114888.41</v>
      </c>
      <c r="K258" s="9" t="n">
        <v>0.1651</v>
      </c>
      <c r="L258" s="9" t="n">
        <v>0.5854</v>
      </c>
      <c r="M258" s="10" t="n">
        <f aca="false">J258*(1-K258)</f>
        <v>95920.333509</v>
      </c>
      <c r="N258" s="10" t="n">
        <f aca="false">M258*L258</f>
        <v>56151.7632361686</v>
      </c>
      <c r="O258" s="10" t="n">
        <f aca="false">M258-N258</f>
        <v>39768.5702728314</v>
      </c>
      <c r="P258" s="10" t="n">
        <f aca="false">O258-I258</f>
        <v>2463.5653528314</v>
      </c>
      <c r="Q258" s="10" t="n">
        <f aca="false">(J258-D258)*(1-E258)*(1-F258)</f>
        <v>2676.16176</v>
      </c>
      <c r="R258" s="10" t="n">
        <f aca="false">J258*(E258-K258)*(1-F258)</f>
        <v>-1613.0332764</v>
      </c>
      <c r="S258" s="10" t="n">
        <f aca="false">M258*(F258-L258)</f>
        <v>1400.4368692314</v>
      </c>
      <c r="T258" s="10" t="n">
        <f aca="false">ROUND(P258-(Q258+R258+S258),2)</f>
        <v>0</v>
      </c>
    </row>
    <row r="259" customFormat="false" ht="15" hidden="false" customHeight="true" outlineLevel="0" collapsed="false">
      <c r="A259" s="7" t="s">
        <v>60</v>
      </c>
      <c r="B259" s="7" t="s">
        <v>72</v>
      </c>
      <c r="C259" s="7" t="s">
        <v>70</v>
      </c>
      <c r="D259" s="8" t="n">
        <v>110117.74</v>
      </c>
      <c r="E259" s="9" t="n">
        <v>0.13</v>
      </c>
      <c r="F259" s="9" t="n">
        <v>0.6</v>
      </c>
      <c r="G259" s="10" t="n">
        <f aca="false">D259*(1-E259)</f>
        <v>95802.4338</v>
      </c>
      <c r="H259" s="10" t="n">
        <f aca="false">G259*F259</f>
        <v>57481.46028</v>
      </c>
      <c r="I259" s="10" t="n">
        <f aca="false">G259-H259</f>
        <v>38320.97352</v>
      </c>
      <c r="J259" s="8" t="n">
        <v>98391.43</v>
      </c>
      <c r="K259" s="9" t="n">
        <v>0.169</v>
      </c>
      <c r="L259" s="9" t="n">
        <v>0.5985</v>
      </c>
      <c r="M259" s="10" t="n">
        <f aca="false">J259*(1-K259)</f>
        <v>81763.27833</v>
      </c>
      <c r="N259" s="10" t="n">
        <f aca="false">M259*L259</f>
        <v>48935.322080505</v>
      </c>
      <c r="O259" s="10" t="n">
        <f aca="false">M259-N259</f>
        <v>32827.956249495</v>
      </c>
      <c r="P259" s="10" t="n">
        <f aca="false">O259-I259</f>
        <v>-5493.01727050501</v>
      </c>
      <c r="Q259" s="10" t="n">
        <f aca="false">(J259-D259)*(1-E259)*(1-F259)</f>
        <v>-4080.75588</v>
      </c>
      <c r="R259" s="10" t="n">
        <f aca="false">J259*(E259-K259)*(1-F259)</f>
        <v>-1534.906308</v>
      </c>
      <c r="S259" s="10" t="n">
        <f aca="false">M259*(F259-L259)</f>
        <v>122.644917494996</v>
      </c>
      <c r="T259" s="10" t="n">
        <f aca="false">ROUND(P259-(Q259+R259+S259),2)</f>
        <v>0</v>
      </c>
    </row>
    <row r="260" customFormat="false" ht="15" hidden="false" customHeight="true" outlineLevel="0" collapsed="false">
      <c r="A260" s="7" t="s">
        <v>61</v>
      </c>
      <c r="B260" s="7" t="s">
        <v>72</v>
      </c>
      <c r="C260" s="7" t="s">
        <v>70</v>
      </c>
      <c r="D260" s="8" t="n">
        <v>108718.84</v>
      </c>
      <c r="E260" s="9" t="n">
        <v>0.13</v>
      </c>
      <c r="F260" s="9" t="n">
        <v>0.6</v>
      </c>
      <c r="G260" s="10" t="n">
        <f aca="false">D260*(1-E260)</f>
        <v>94585.3908</v>
      </c>
      <c r="H260" s="10" t="n">
        <f aca="false">G260*F260</f>
        <v>56751.23448</v>
      </c>
      <c r="I260" s="10" t="n">
        <f aca="false">G260-H260</f>
        <v>37834.15632</v>
      </c>
      <c r="J260" s="8" t="n">
        <v>114129.2</v>
      </c>
      <c r="K260" s="9" t="n">
        <v>0.1469</v>
      </c>
      <c r="L260" s="9" t="n">
        <v>0.5933</v>
      </c>
      <c r="M260" s="10" t="n">
        <f aca="false">J260*(1-K260)</f>
        <v>97363.62052</v>
      </c>
      <c r="N260" s="10" t="n">
        <f aca="false">M260*L260</f>
        <v>57765.836054516</v>
      </c>
      <c r="O260" s="10" t="n">
        <f aca="false">M260-N260</f>
        <v>39597.784465484</v>
      </c>
      <c r="P260" s="10" t="n">
        <f aca="false">O260-I260</f>
        <v>1763.62814548399</v>
      </c>
      <c r="Q260" s="10" t="n">
        <f aca="false">(J260-D260)*(1-E260)*(1-F260)</f>
        <v>1882.80528</v>
      </c>
      <c r="R260" s="10" t="n">
        <f aca="false">J260*(E260-K260)*(1-F260)</f>
        <v>-771.513392</v>
      </c>
      <c r="S260" s="10" t="n">
        <f aca="false">M260*(F260-L260)</f>
        <v>652.336257483993</v>
      </c>
      <c r="T260" s="10" t="n">
        <f aca="false">ROUND(P260-(Q260+R260+S260),2)</f>
        <v>0</v>
      </c>
    </row>
    <row r="261" customFormat="false" ht="15" hidden="false" customHeight="true" outlineLevel="0" collapsed="false">
      <c r="A261" s="7" t="s">
        <v>62</v>
      </c>
      <c r="B261" s="7" t="s">
        <v>72</v>
      </c>
      <c r="C261" s="7" t="s">
        <v>70</v>
      </c>
      <c r="D261" s="8" t="n">
        <v>112763.48</v>
      </c>
      <c r="E261" s="9" t="n">
        <v>0.13</v>
      </c>
      <c r="F261" s="9" t="n">
        <v>0.6</v>
      </c>
      <c r="G261" s="10" t="n">
        <f aca="false">D261*(1-E261)</f>
        <v>98104.2276</v>
      </c>
      <c r="H261" s="10" t="n">
        <f aca="false">G261*F261</f>
        <v>58862.53656</v>
      </c>
      <c r="I261" s="10" t="n">
        <f aca="false">G261-H261</f>
        <v>39241.69104</v>
      </c>
      <c r="J261" s="8" t="n">
        <v>112662.36</v>
      </c>
      <c r="K261" s="9" t="n">
        <v>0.1662</v>
      </c>
      <c r="L261" s="9" t="n">
        <v>0.5945</v>
      </c>
      <c r="M261" s="10" t="n">
        <f aca="false">J261*(1-K261)</f>
        <v>93937.875768</v>
      </c>
      <c r="N261" s="10" t="n">
        <f aca="false">M261*L261</f>
        <v>55846.067144076</v>
      </c>
      <c r="O261" s="10" t="n">
        <f aca="false">M261-N261</f>
        <v>38091.808623924</v>
      </c>
      <c r="P261" s="10" t="n">
        <f aca="false">O261-I261</f>
        <v>-1149.882416076</v>
      </c>
      <c r="Q261" s="10" t="n">
        <f aca="false">(J261-D261)*(1-E261)*(1-F261)</f>
        <v>-35.1897599999984</v>
      </c>
      <c r="R261" s="10" t="n">
        <f aca="false">J261*(E261-K261)*(1-F261)</f>
        <v>-1631.3509728</v>
      </c>
      <c r="S261" s="10" t="n">
        <f aca="false">M261*(F261-L261)</f>
        <v>516.658316723995</v>
      </c>
      <c r="T261" s="10" t="n">
        <f aca="false">ROUND(P261-(Q261+R261+S261),2)</f>
        <v>0</v>
      </c>
    </row>
    <row r="262" customFormat="false" ht="15" hidden="false" customHeight="true" outlineLevel="0" collapsed="false">
      <c r="A262" s="7" t="s">
        <v>63</v>
      </c>
      <c r="B262" s="7" t="s">
        <v>72</v>
      </c>
      <c r="C262" s="7" t="s">
        <v>70</v>
      </c>
      <c r="D262" s="8" t="n">
        <v>115751.35</v>
      </c>
      <c r="E262" s="9" t="n">
        <v>0.13</v>
      </c>
      <c r="F262" s="9" t="n">
        <v>0.6</v>
      </c>
      <c r="G262" s="10" t="n">
        <f aca="false">D262*(1-E262)</f>
        <v>100703.6745</v>
      </c>
      <c r="H262" s="10" t="n">
        <f aca="false">G262*F262</f>
        <v>60422.2047</v>
      </c>
      <c r="I262" s="10" t="n">
        <f aca="false">G262-H262</f>
        <v>40281.4698</v>
      </c>
      <c r="J262" s="8" t="n">
        <v>115477.08</v>
      </c>
      <c r="K262" s="9" t="n">
        <v>0.1718</v>
      </c>
      <c r="L262" s="9" t="n">
        <v>0.6047</v>
      </c>
      <c r="M262" s="10" t="n">
        <f aca="false">J262*(1-K262)</f>
        <v>95638.117656</v>
      </c>
      <c r="N262" s="10" t="n">
        <f aca="false">M262*L262</f>
        <v>57832.3697465832</v>
      </c>
      <c r="O262" s="10" t="n">
        <f aca="false">M262-N262</f>
        <v>37805.7479094168</v>
      </c>
      <c r="P262" s="10" t="n">
        <f aca="false">O262-I262</f>
        <v>-2475.72189058321</v>
      </c>
      <c r="Q262" s="10" t="n">
        <f aca="false">(J262-D262)*(1-E262)*(1-F262)</f>
        <v>-95.4459600000014</v>
      </c>
      <c r="R262" s="10" t="n">
        <f aca="false">J262*(E262-K262)*(1-F262)</f>
        <v>-1930.7767776</v>
      </c>
      <c r="S262" s="10" t="n">
        <f aca="false">M262*(F262-L262)</f>
        <v>-449.499152983204</v>
      </c>
      <c r="T262" s="10" t="n">
        <f aca="false">ROUND(P262-(Q262+R262+S262),2)</f>
        <v>0</v>
      </c>
    </row>
    <row r="263" customFormat="false" ht="15" hidden="false" customHeight="true" outlineLevel="0" collapsed="false">
      <c r="A263" s="7" t="s">
        <v>64</v>
      </c>
      <c r="B263" s="7" t="s">
        <v>72</v>
      </c>
      <c r="C263" s="7" t="s">
        <v>70</v>
      </c>
      <c r="D263" s="8" t="n">
        <v>122099.62</v>
      </c>
      <c r="E263" s="9" t="n">
        <v>0.13</v>
      </c>
      <c r="F263" s="9" t="n">
        <v>0.6</v>
      </c>
      <c r="G263" s="10" t="n">
        <f aca="false">D263*(1-E263)</f>
        <v>106226.6694</v>
      </c>
      <c r="H263" s="10" t="n">
        <f aca="false">G263*F263</f>
        <v>63736.00164</v>
      </c>
      <c r="I263" s="10" t="n">
        <f aca="false">G263-H263</f>
        <v>42490.66776</v>
      </c>
      <c r="J263" s="8" t="n">
        <v>120664.01</v>
      </c>
      <c r="K263" s="9" t="n">
        <v>0.153</v>
      </c>
      <c r="L263" s="9" t="n">
        <v>0.6043</v>
      </c>
      <c r="M263" s="10" t="n">
        <f aca="false">J263*(1-K263)</f>
        <v>102202.41647</v>
      </c>
      <c r="N263" s="10" t="n">
        <f aca="false">M263*L263</f>
        <v>61760.920272821</v>
      </c>
      <c r="O263" s="10" t="n">
        <f aca="false">M263-N263</f>
        <v>40441.496197179</v>
      </c>
      <c r="P263" s="10" t="n">
        <f aca="false">O263-I263</f>
        <v>-2049.171562821</v>
      </c>
      <c r="Q263" s="10" t="n">
        <f aca="false">(J263-D263)*(1-E263)*(1-F263)</f>
        <v>-499.59228</v>
      </c>
      <c r="R263" s="10" t="n">
        <f aca="false">J263*(E263-K263)*(1-F263)</f>
        <v>-1110.108892</v>
      </c>
      <c r="S263" s="10" t="n">
        <f aca="false">M263*(F263-L263)</f>
        <v>-439.470390820997</v>
      </c>
      <c r="T263" s="10" t="n">
        <f aca="false">ROUND(P263-(Q263+R263+S263),2)</f>
        <v>0</v>
      </c>
    </row>
    <row r="264" customFormat="false" ht="15" hidden="false" customHeight="true" outlineLevel="0" collapsed="false">
      <c r="A264" s="7" t="s">
        <v>65</v>
      </c>
      <c r="B264" s="7" t="s">
        <v>72</v>
      </c>
      <c r="C264" s="7" t="s">
        <v>70</v>
      </c>
      <c r="D264" s="8" t="n">
        <v>145287.9</v>
      </c>
      <c r="E264" s="9" t="n">
        <v>0.13</v>
      </c>
      <c r="F264" s="9" t="n">
        <v>0.6</v>
      </c>
      <c r="G264" s="10" t="n">
        <f aca="false">D264*(1-E264)</f>
        <v>126400.473</v>
      </c>
      <c r="H264" s="10" t="n">
        <f aca="false">G264*F264</f>
        <v>75840.2838</v>
      </c>
      <c r="I264" s="10" t="n">
        <f aca="false">G264-H264</f>
        <v>50560.1892</v>
      </c>
      <c r="J264" s="8" t="n">
        <v>142833.23</v>
      </c>
      <c r="K264" s="9" t="n">
        <v>0.1687</v>
      </c>
      <c r="L264" s="9" t="n">
        <v>0.5984</v>
      </c>
      <c r="M264" s="10" t="n">
        <f aca="false">J264*(1-K264)</f>
        <v>118737.264099</v>
      </c>
      <c r="N264" s="10" t="n">
        <f aca="false">M264*L264</f>
        <v>71052.3788368416</v>
      </c>
      <c r="O264" s="10" t="n">
        <f aca="false">M264-N264</f>
        <v>47684.8852621584</v>
      </c>
      <c r="P264" s="10" t="n">
        <f aca="false">O264-I264</f>
        <v>-2875.30393784161</v>
      </c>
      <c r="Q264" s="10" t="n">
        <f aca="false">(J264-D264)*(1-E264)*(1-F264)</f>
        <v>-854.225159999994</v>
      </c>
      <c r="R264" s="10" t="n">
        <f aca="false">J264*(E264-K264)*(1-F264)</f>
        <v>-2211.0584004</v>
      </c>
      <c r="S264" s="10" t="n">
        <f aca="false">M264*(F264-L264)</f>
        <v>189.979622558392</v>
      </c>
      <c r="T264" s="10" t="n">
        <f aca="false">ROUND(P264-(Q264+R264+S264),2)</f>
        <v>-0</v>
      </c>
    </row>
    <row r="265" customFormat="false" ht="15" hidden="false" customHeight="true" outlineLevel="0" collapsed="false">
      <c r="A265" s="7" t="s">
        <v>66</v>
      </c>
      <c r="B265" s="7" t="s">
        <v>72</v>
      </c>
      <c r="C265" s="7" t="s">
        <v>70</v>
      </c>
      <c r="D265" s="8" t="n">
        <v>137274.64</v>
      </c>
      <c r="E265" s="9" t="n">
        <v>0.13</v>
      </c>
      <c r="F265" s="9" t="n">
        <v>0.6</v>
      </c>
      <c r="G265" s="10" t="n">
        <f aca="false">D265*(1-E265)</f>
        <v>119428.9368</v>
      </c>
      <c r="H265" s="10" t="n">
        <f aca="false">G265*F265</f>
        <v>71657.36208</v>
      </c>
      <c r="I265" s="10" t="n">
        <f aca="false">G265-H265</f>
        <v>47771.57472</v>
      </c>
      <c r="J265" s="8" t="n">
        <v>139124.68</v>
      </c>
      <c r="K265" s="9" t="n">
        <v>0.1807</v>
      </c>
      <c r="L265" s="9" t="n">
        <v>0.5955</v>
      </c>
      <c r="M265" s="10" t="n">
        <f aca="false">J265*(1-K265)</f>
        <v>113984.850324</v>
      </c>
      <c r="N265" s="10" t="n">
        <f aca="false">M265*L265</f>
        <v>67877.978367942</v>
      </c>
      <c r="O265" s="10" t="n">
        <f aca="false">M265-N265</f>
        <v>46106.871956058</v>
      </c>
      <c r="P265" s="10" t="n">
        <f aca="false">O265-I265</f>
        <v>-1664.70276394201</v>
      </c>
      <c r="Q265" s="10" t="n">
        <f aca="false">(J265-D265)*(1-E265)*(1-F265)</f>
        <v>643.813919999993</v>
      </c>
      <c r="R265" s="10" t="n">
        <f aca="false">J265*(E265-K265)*(1-F265)</f>
        <v>-2821.4485104</v>
      </c>
      <c r="S265" s="10" t="n">
        <f aca="false">M265*(F265-L265)</f>
        <v>512.931826457994</v>
      </c>
      <c r="T265" s="10" t="n">
        <f aca="false">ROUND(P265-(Q265+R265+S265),2)</f>
        <v>0</v>
      </c>
    </row>
    <row r="266" customFormat="false" ht="15" hidden="false" customHeight="true" outlineLevel="0" collapsed="false">
      <c r="A266" s="7" t="s">
        <v>41</v>
      </c>
      <c r="B266" s="7" t="s">
        <v>72</v>
      </c>
      <c r="C266" s="7" t="s">
        <v>71</v>
      </c>
      <c r="D266" s="8" t="n">
        <v>90030.42</v>
      </c>
      <c r="E266" s="9" t="n">
        <v>0.09</v>
      </c>
      <c r="F266" s="9" t="n">
        <v>0.56</v>
      </c>
      <c r="G266" s="10" t="n">
        <f aca="false">D266*(1-E266)</f>
        <v>81927.6822</v>
      </c>
      <c r="H266" s="10" t="n">
        <f aca="false">G266*F266</f>
        <v>45879.502032</v>
      </c>
      <c r="I266" s="10" t="n">
        <f aca="false">G266-H266</f>
        <v>36048.180168</v>
      </c>
      <c r="J266" s="8" t="n">
        <v>88467.6</v>
      </c>
      <c r="K266" s="9" t="n">
        <v>0.0943</v>
      </c>
      <c r="L266" s="9" t="n">
        <v>0.5781</v>
      </c>
      <c r="M266" s="10" t="n">
        <f aca="false">J266*(1-K266)</f>
        <v>80125.10532</v>
      </c>
      <c r="N266" s="10" t="n">
        <f aca="false">M266*L266</f>
        <v>46320.323385492</v>
      </c>
      <c r="O266" s="10" t="n">
        <f aca="false">M266-N266</f>
        <v>33804.781934508</v>
      </c>
      <c r="P266" s="10" t="n">
        <f aca="false">O266-I266</f>
        <v>-2243.39823349199</v>
      </c>
      <c r="Q266" s="10" t="n">
        <f aca="false">(J266-D266)*(1-E266)*(1-F266)</f>
        <v>-625.753127999997</v>
      </c>
      <c r="R266" s="10" t="n">
        <f aca="false">J266*(E266-K266)*(1-F266)</f>
        <v>-167.3806992</v>
      </c>
      <c r="S266" s="10" t="n">
        <f aca="false">M266*(F266-L266)</f>
        <v>-1450.26440629199</v>
      </c>
      <c r="T266" s="10" t="n">
        <f aca="false">ROUND(P266-(Q266+R266+S266),2)</f>
        <v>0</v>
      </c>
    </row>
    <row r="267" customFormat="false" ht="15" hidden="false" customHeight="true" outlineLevel="0" collapsed="false">
      <c r="A267" s="7" t="s">
        <v>44</v>
      </c>
      <c r="B267" s="7" t="s">
        <v>72</v>
      </c>
      <c r="C267" s="7" t="s">
        <v>71</v>
      </c>
      <c r="D267" s="8" t="n">
        <v>88733.99</v>
      </c>
      <c r="E267" s="9" t="n">
        <v>0.09</v>
      </c>
      <c r="F267" s="9" t="n">
        <v>0.56</v>
      </c>
      <c r="G267" s="10" t="n">
        <f aca="false">D267*(1-E267)</f>
        <v>80747.9309</v>
      </c>
      <c r="H267" s="10" t="n">
        <f aca="false">G267*F267</f>
        <v>45218.841304</v>
      </c>
      <c r="I267" s="10" t="n">
        <f aca="false">G267-H267</f>
        <v>35529.089596</v>
      </c>
      <c r="J267" s="8" t="n">
        <v>77793.69</v>
      </c>
      <c r="K267" s="9" t="n">
        <v>0.0899</v>
      </c>
      <c r="L267" s="9" t="n">
        <v>0.5615</v>
      </c>
      <c r="M267" s="10" t="n">
        <f aca="false">J267*(1-K267)</f>
        <v>70800.037269</v>
      </c>
      <c r="N267" s="10" t="n">
        <f aca="false">M267*L267</f>
        <v>39754.2209265435</v>
      </c>
      <c r="O267" s="10" t="n">
        <f aca="false">M267-N267</f>
        <v>31045.8163424565</v>
      </c>
      <c r="P267" s="10" t="n">
        <f aca="false">O267-I267</f>
        <v>-4483.27325354349</v>
      </c>
      <c r="Q267" s="10" t="n">
        <f aca="false">(J267-D267)*(1-E267)*(1-F267)</f>
        <v>-4380.49612</v>
      </c>
      <c r="R267" s="10" t="n">
        <f aca="false">J267*(E267-K267)*(1-F267)</f>
        <v>3.4229223600001</v>
      </c>
      <c r="S267" s="10" t="n">
        <f aca="false">M267*(F267-L267)</f>
        <v>-106.200055903496</v>
      </c>
      <c r="T267" s="10" t="n">
        <f aca="false">ROUND(P267-(Q267+R267+S267),2)</f>
        <v>0</v>
      </c>
    </row>
    <row r="268" customFormat="false" ht="15" hidden="false" customHeight="true" outlineLevel="0" collapsed="false">
      <c r="A268" s="7" t="s">
        <v>45</v>
      </c>
      <c r="B268" s="7" t="s">
        <v>72</v>
      </c>
      <c r="C268" s="7" t="s">
        <v>71</v>
      </c>
      <c r="D268" s="8" t="n">
        <v>96552.63</v>
      </c>
      <c r="E268" s="9" t="n">
        <v>0.09</v>
      </c>
      <c r="F268" s="9" t="n">
        <v>0.56</v>
      </c>
      <c r="G268" s="10" t="n">
        <f aca="false">D268*(1-E268)</f>
        <v>87862.8933</v>
      </c>
      <c r="H268" s="10" t="n">
        <f aca="false">G268*F268</f>
        <v>49203.220248</v>
      </c>
      <c r="I268" s="10" t="n">
        <f aca="false">G268-H268</f>
        <v>38659.673052</v>
      </c>
      <c r="J268" s="8" t="n">
        <v>99925.4</v>
      </c>
      <c r="K268" s="9" t="n">
        <v>0.0753</v>
      </c>
      <c r="L268" s="9" t="n">
        <v>0.5517</v>
      </c>
      <c r="M268" s="10" t="n">
        <f aca="false">J268*(1-K268)</f>
        <v>92401.01738</v>
      </c>
      <c r="N268" s="10" t="n">
        <f aca="false">M268*L268</f>
        <v>50977.641288546</v>
      </c>
      <c r="O268" s="10" t="n">
        <f aca="false">M268-N268</f>
        <v>41423.376091454</v>
      </c>
      <c r="P268" s="10" t="n">
        <f aca="false">O268-I268</f>
        <v>2763.703039454</v>
      </c>
      <c r="Q268" s="10" t="n">
        <f aca="false">(J268-D268)*(1-E268)*(1-F268)</f>
        <v>1350.457108</v>
      </c>
      <c r="R268" s="10" t="n">
        <f aca="false">J268*(E268-K268)*(1-F268)</f>
        <v>646.3174872</v>
      </c>
      <c r="S268" s="10" t="n">
        <f aca="false">M268*(F268-L268)</f>
        <v>766.928444254008</v>
      </c>
      <c r="T268" s="10" t="n">
        <f aca="false">ROUND(P268-(Q268+R268+S268),2)</f>
        <v>0</v>
      </c>
    </row>
    <row r="269" customFormat="false" ht="15" hidden="false" customHeight="true" outlineLevel="0" collapsed="false">
      <c r="A269" s="7" t="s">
        <v>46</v>
      </c>
      <c r="B269" s="7" t="s">
        <v>72</v>
      </c>
      <c r="C269" s="7" t="s">
        <v>71</v>
      </c>
      <c r="D269" s="8" t="n">
        <v>100385.92</v>
      </c>
      <c r="E269" s="9" t="n">
        <v>0.09</v>
      </c>
      <c r="F269" s="9" t="n">
        <v>0.56</v>
      </c>
      <c r="G269" s="10" t="n">
        <f aca="false">D269*(1-E269)</f>
        <v>91351.1872</v>
      </c>
      <c r="H269" s="10" t="n">
        <f aca="false">G269*F269</f>
        <v>51156.664832</v>
      </c>
      <c r="I269" s="10" t="n">
        <f aca="false">G269-H269</f>
        <v>40194.522368</v>
      </c>
      <c r="J269" s="8" t="n">
        <v>101257.79</v>
      </c>
      <c r="K269" s="9" t="n">
        <v>0.0902</v>
      </c>
      <c r="L269" s="9" t="n">
        <v>0.5663</v>
      </c>
      <c r="M269" s="10" t="n">
        <f aca="false">J269*(1-K269)</f>
        <v>92124.337342</v>
      </c>
      <c r="N269" s="10" t="n">
        <f aca="false">M269*L269</f>
        <v>52170.0122367746</v>
      </c>
      <c r="O269" s="10" t="n">
        <f aca="false">M269-N269</f>
        <v>39954.3251052254</v>
      </c>
      <c r="P269" s="10" t="n">
        <f aca="false">O269-I269</f>
        <v>-240.197262774607</v>
      </c>
      <c r="Q269" s="10" t="n">
        <f aca="false">(J269-D269)*(1-E269)*(1-F269)</f>
        <v>349.096747999998</v>
      </c>
      <c r="R269" s="10" t="n">
        <f aca="false">J269*(E269-K269)*(1-F269)</f>
        <v>-8.91068552000025</v>
      </c>
      <c r="S269" s="10" t="n">
        <f aca="false">M269*(F269-L269)</f>
        <v>-580.383325254597</v>
      </c>
      <c r="T269" s="10" t="n">
        <f aca="false">ROUND(P269-(Q269+R269+S269),2)</f>
        <v>-0</v>
      </c>
    </row>
    <row r="270" customFormat="false" ht="15" hidden="false" customHeight="true" outlineLevel="0" collapsed="false">
      <c r="A270" s="7" t="s">
        <v>47</v>
      </c>
      <c r="B270" s="7" t="s">
        <v>72</v>
      </c>
      <c r="C270" s="7" t="s">
        <v>71</v>
      </c>
      <c r="D270" s="8" t="n">
        <v>103234.89</v>
      </c>
      <c r="E270" s="9" t="n">
        <v>0.09</v>
      </c>
      <c r="F270" s="9" t="n">
        <v>0.56</v>
      </c>
      <c r="G270" s="10" t="n">
        <f aca="false">D270*(1-E270)</f>
        <v>93943.7499</v>
      </c>
      <c r="H270" s="10" t="n">
        <f aca="false">G270*F270</f>
        <v>52608.499944</v>
      </c>
      <c r="I270" s="10" t="n">
        <f aca="false">G270-H270</f>
        <v>41335.249956</v>
      </c>
      <c r="J270" s="8" t="n">
        <v>106747.69</v>
      </c>
      <c r="K270" s="9" t="n">
        <v>0.1036</v>
      </c>
      <c r="L270" s="9" t="n">
        <v>0.5578</v>
      </c>
      <c r="M270" s="10" t="n">
        <f aca="false">J270*(1-K270)</f>
        <v>95688.629316</v>
      </c>
      <c r="N270" s="10" t="n">
        <f aca="false">M270*L270</f>
        <v>53375.1174324648</v>
      </c>
      <c r="O270" s="10" t="n">
        <f aca="false">M270-N270</f>
        <v>42313.5118835352</v>
      </c>
      <c r="P270" s="10" t="n">
        <f aca="false">O270-I270</f>
        <v>978.261927535204</v>
      </c>
      <c r="Q270" s="10" t="n">
        <f aca="false">(J270-D270)*(1-E270)*(1-F270)</f>
        <v>1406.52512</v>
      </c>
      <c r="R270" s="10" t="n">
        <f aca="false">J270*(E270-K270)*(1-F270)</f>
        <v>-638.77817696</v>
      </c>
      <c r="S270" s="10" t="n">
        <f aca="false">M270*(F270-L270)</f>
        <v>210.514984495209</v>
      </c>
      <c r="T270" s="10" t="n">
        <f aca="false">ROUND(P270-(Q270+R270+S270),2)</f>
        <v>-0</v>
      </c>
    </row>
    <row r="271" customFormat="false" ht="15" hidden="false" customHeight="true" outlineLevel="0" collapsed="false">
      <c r="A271" s="7" t="s">
        <v>48</v>
      </c>
      <c r="B271" s="7" t="s">
        <v>72</v>
      </c>
      <c r="C271" s="7" t="s">
        <v>71</v>
      </c>
      <c r="D271" s="8" t="n">
        <v>106115.86</v>
      </c>
      <c r="E271" s="9" t="n">
        <v>0.09</v>
      </c>
      <c r="F271" s="9" t="n">
        <v>0.56</v>
      </c>
      <c r="G271" s="10" t="n">
        <f aca="false">D271*(1-E271)</f>
        <v>96565.4326</v>
      </c>
      <c r="H271" s="10" t="n">
        <f aca="false">G271*F271</f>
        <v>54076.642256</v>
      </c>
      <c r="I271" s="10" t="n">
        <f aca="false">G271-H271</f>
        <v>42488.790344</v>
      </c>
      <c r="J271" s="8" t="n">
        <v>96436.21</v>
      </c>
      <c r="K271" s="9" t="n">
        <v>0.0924</v>
      </c>
      <c r="L271" s="9" t="n">
        <v>0.5584</v>
      </c>
      <c r="M271" s="10" t="n">
        <f aca="false">J271*(1-K271)</f>
        <v>87525.504196</v>
      </c>
      <c r="N271" s="10" t="n">
        <f aca="false">M271*L271</f>
        <v>48874.2415430464</v>
      </c>
      <c r="O271" s="10" t="n">
        <f aca="false">M271-N271</f>
        <v>38651.2626529536</v>
      </c>
      <c r="P271" s="10" t="n">
        <f aca="false">O271-I271</f>
        <v>-3837.52769104639</v>
      </c>
      <c r="Q271" s="10" t="n">
        <f aca="false">(J271-D271)*(1-E271)*(1-F271)</f>
        <v>-3875.73186</v>
      </c>
      <c r="R271" s="10" t="n">
        <f aca="false">J271*(E271-K271)*(1-F271)</f>
        <v>-101.83663776</v>
      </c>
      <c r="S271" s="10" t="n">
        <f aca="false">M271*(F271-L271)</f>
        <v>140.040806713604</v>
      </c>
      <c r="T271" s="10" t="n">
        <f aca="false">ROUND(P271-(Q271+R271+S271),2)</f>
        <v>0</v>
      </c>
    </row>
    <row r="272" customFormat="false" ht="15" hidden="false" customHeight="true" outlineLevel="0" collapsed="false">
      <c r="A272" s="7" t="s">
        <v>49</v>
      </c>
      <c r="B272" s="7" t="s">
        <v>72</v>
      </c>
      <c r="C272" s="7" t="s">
        <v>71</v>
      </c>
      <c r="D272" s="8" t="n">
        <v>104835.43</v>
      </c>
      <c r="E272" s="9" t="n">
        <v>0.09</v>
      </c>
      <c r="F272" s="9" t="n">
        <v>0.56</v>
      </c>
      <c r="G272" s="10" t="n">
        <f aca="false">D272*(1-E272)</f>
        <v>95400.2413</v>
      </c>
      <c r="H272" s="10" t="n">
        <f aca="false">G272*F272</f>
        <v>53424.135128</v>
      </c>
      <c r="I272" s="10" t="n">
        <f aca="false">G272-H272</f>
        <v>41976.106172</v>
      </c>
      <c r="J272" s="8" t="n">
        <v>107483.71</v>
      </c>
      <c r="K272" s="9" t="n">
        <v>0.0926</v>
      </c>
      <c r="L272" s="9" t="n">
        <v>0.5683</v>
      </c>
      <c r="M272" s="10" t="n">
        <f aca="false">J272*(1-K272)</f>
        <v>97530.718454</v>
      </c>
      <c r="N272" s="10" t="n">
        <f aca="false">M272*L272</f>
        <v>55426.7072974082</v>
      </c>
      <c r="O272" s="10" t="n">
        <f aca="false">M272-N272</f>
        <v>42104.0111565918</v>
      </c>
      <c r="P272" s="10" t="n">
        <f aca="false">O272-I272</f>
        <v>127.904984591805</v>
      </c>
      <c r="Q272" s="10" t="n">
        <f aca="false">(J272-D272)*(1-E272)*(1-F272)</f>
        <v>1060.37131200001</v>
      </c>
      <c r="R272" s="10" t="n">
        <f aca="false">J272*(E272-K272)*(1-F272)</f>
        <v>-122.96136424</v>
      </c>
      <c r="S272" s="10" t="n">
        <f aca="false">M272*(F272-L272)</f>
        <v>-809.504963168198</v>
      </c>
      <c r="T272" s="10" t="n">
        <f aca="false">ROUND(P272-(Q272+R272+S272),2)</f>
        <v>-0</v>
      </c>
    </row>
    <row r="273" customFormat="false" ht="15" hidden="false" customHeight="true" outlineLevel="0" collapsed="false">
      <c r="A273" s="7" t="s">
        <v>50</v>
      </c>
      <c r="B273" s="7" t="s">
        <v>72</v>
      </c>
      <c r="C273" s="7" t="s">
        <v>71</v>
      </c>
      <c r="D273" s="8" t="n">
        <v>108804.77</v>
      </c>
      <c r="E273" s="9" t="n">
        <v>0.09</v>
      </c>
      <c r="F273" s="9" t="n">
        <v>0.56</v>
      </c>
      <c r="G273" s="10" t="n">
        <f aca="false">D273*(1-E273)</f>
        <v>99012.3407</v>
      </c>
      <c r="H273" s="10" t="n">
        <f aca="false">G273*F273</f>
        <v>55446.910792</v>
      </c>
      <c r="I273" s="10" t="n">
        <f aca="false">G273-H273</f>
        <v>43565.429908</v>
      </c>
      <c r="J273" s="8" t="n">
        <v>105068.69</v>
      </c>
      <c r="K273" s="9" t="n">
        <v>0.0813</v>
      </c>
      <c r="L273" s="9" t="n">
        <v>0.5711</v>
      </c>
      <c r="M273" s="10" t="n">
        <f aca="false">J273*(1-K273)</f>
        <v>96526.605503</v>
      </c>
      <c r="N273" s="10" t="n">
        <f aca="false">M273*L273</f>
        <v>55126.3444027633</v>
      </c>
      <c r="O273" s="10" t="n">
        <f aca="false">M273-N273</f>
        <v>41400.2611002367</v>
      </c>
      <c r="P273" s="10" t="n">
        <f aca="false">O273-I273</f>
        <v>-2165.1688077633</v>
      </c>
      <c r="Q273" s="10" t="n">
        <f aca="false">(J273-D273)*(1-E273)*(1-F273)</f>
        <v>-1495.926432</v>
      </c>
      <c r="R273" s="10" t="n">
        <f aca="false">J273*(E273-K273)*(1-F273)</f>
        <v>402.20294532</v>
      </c>
      <c r="S273" s="10" t="n">
        <f aca="false">M273*(F273-L273)</f>
        <v>-1071.4453210833</v>
      </c>
      <c r="T273" s="10" t="n">
        <f aca="false">ROUND(P273-(Q273+R273+S273),2)</f>
        <v>0</v>
      </c>
    </row>
    <row r="274" customFormat="false" ht="15" hidden="false" customHeight="true" outlineLevel="0" collapsed="false">
      <c r="A274" s="7" t="s">
        <v>51</v>
      </c>
      <c r="B274" s="7" t="s">
        <v>72</v>
      </c>
      <c r="C274" s="7" t="s">
        <v>71</v>
      </c>
      <c r="D274" s="8" t="n">
        <v>111757.77</v>
      </c>
      <c r="E274" s="9" t="n">
        <v>0.09</v>
      </c>
      <c r="F274" s="9" t="n">
        <v>0.56</v>
      </c>
      <c r="G274" s="10" t="n">
        <f aca="false">D274*(1-E274)</f>
        <v>101699.5707</v>
      </c>
      <c r="H274" s="10" t="n">
        <f aca="false">G274*F274</f>
        <v>56951.759592</v>
      </c>
      <c r="I274" s="10" t="n">
        <f aca="false">G274-H274</f>
        <v>44747.811108</v>
      </c>
      <c r="J274" s="8" t="n">
        <v>116465.55</v>
      </c>
      <c r="K274" s="9" t="n">
        <v>0.0933</v>
      </c>
      <c r="L274" s="9" t="n">
        <v>0.5541</v>
      </c>
      <c r="M274" s="10" t="n">
        <f aca="false">J274*(1-K274)</f>
        <v>105599.314185</v>
      </c>
      <c r="N274" s="10" t="n">
        <f aca="false">M274*L274</f>
        <v>58512.5799899085</v>
      </c>
      <c r="O274" s="10" t="n">
        <f aca="false">M274-N274</f>
        <v>47086.7341950915</v>
      </c>
      <c r="P274" s="10" t="n">
        <f aca="false">O274-I274</f>
        <v>2338.9230870915</v>
      </c>
      <c r="Q274" s="10" t="n">
        <f aca="false">(J274-D274)*(1-E274)*(1-F274)</f>
        <v>1884.995112</v>
      </c>
      <c r="R274" s="10" t="n">
        <f aca="false">J274*(E274-K274)*(1-F274)</f>
        <v>-169.1079786</v>
      </c>
      <c r="S274" s="10" t="n">
        <f aca="false">M274*(F274-L274)</f>
        <v>623.035953691502</v>
      </c>
      <c r="T274" s="10" t="n">
        <f aca="false">ROUND(P274-(Q274+R274+S274),2)</f>
        <v>0</v>
      </c>
    </row>
    <row r="275" customFormat="false" ht="15" hidden="false" customHeight="true" outlineLevel="0" collapsed="false">
      <c r="A275" s="7" t="s">
        <v>52</v>
      </c>
      <c r="B275" s="7" t="s">
        <v>72</v>
      </c>
      <c r="C275" s="7" t="s">
        <v>71</v>
      </c>
      <c r="D275" s="8" t="n">
        <v>117959.86</v>
      </c>
      <c r="E275" s="9" t="n">
        <v>0.09</v>
      </c>
      <c r="F275" s="9" t="n">
        <v>0.56</v>
      </c>
      <c r="G275" s="10" t="n">
        <f aca="false">D275*(1-E275)</f>
        <v>107343.4726</v>
      </c>
      <c r="H275" s="10" t="n">
        <f aca="false">G275*F275</f>
        <v>60112.344656</v>
      </c>
      <c r="I275" s="10" t="n">
        <f aca="false">G275-H275</f>
        <v>47231.127944</v>
      </c>
      <c r="J275" s="8" t="n">
        <v>119768.64</v>
      </c>
      <c r="K275" s="9" t="n">
        <v>0.0779</v>
      </c>
      <c r="L275" s="9" t="n">
        <v>0.5565</v>
      </c>
      <c r="M275" s="10" t="n">
        <f aca="false">J275*(1-K275)</f>
        <v>110438.662944</v>
      </c>
      <c r="N275" s="10" t="n">
        <f aca="false">M275*L275</f>
        <v>61459.115928336</v>
      </c>
      <c r="O275" s="10" t="n">
        <f aca="false">M275-N275</f>
        <v>48979.547015664</v>
      </c>
      <c r="P275" s="10" t="n">
        <f aca="false">O275-I275</f>
        <v>1748.419071664</v>
      </c>
      <c r="Q275" s="10" t="n">
        <f aca="false">(J275-D275)*(1-E275)*(1-F275)</f>
        <v>724.235511999999</v>
      </c>
      <c r="R275" s="10" t="n">
        <f aca="false">J275*(E275-K275)*(1-F275)</f>
        <v>637.64823936</v>
      </c>
      <c r="S275" s="10" t="n">
        <f aca="false">M275*(F275-L275)</f>
        <v>386.535320304006</v>
      </c>
      <c r="T275" s="10" t="n">
        <f aca="false">ROUND(P275-(Q275+R275+S275),2)</f>
        <v>0</v>
      </c>
    </row>
    <row r="276" customFormat="false" ht="15" hidden="false" customHeight="true" outlineLevel="0" collapsed="false">
      <c r="A276" s="7" t="s">
        <v>53</v>
      </c>
      <c r="B276" s="7" t="s">
        <v>72</v>
      </c>
      <c r="C276" s="7" t="s">
        <v>71</v>
      </c>
      <c r="D276" s="8" t="n">
        <v>140447.46</v>
      </c>
      <c r="E276" s="9" t="n">
        <v>0.09</v>
      </c>
      <c r="F276" s="9" t="n">
        <v>0.56</v>
      </c>
      <c r="G276" s="10" t="n">
        <f aca="false">D276*(1-E276)</f>
        <v>127807.1886</v>
      </c>
      <c r="H276" s="10" t="n">
        <f aca="false">G276*F276</f>
        <v>71572.025616</v>
      </c>
      <c r="I276" s="10" t="n">
        <f aca="false">G276-H276</f>
        <v>56235.162984</v>
      </c>
      <c r="J276" s="8" t="n">
        <v>151027.88</v>
      </c>
      <c r="K276" s="9" t="n">
        <v>0.0837</v>
      </c>
      <c r="L276" s="9" t="n">
        <v>0.572</v>
      </c>
      <c r="M276" s="10" t="n">
        <f aca="false">J276*(1-K276)</f>
        <v>138386.846444</v>
      </c>
      <c r="N276" s="10" t="n">
        <f aca="false">M276*L276</f>
        <v>79157.276165968</v>
      </c>
      <c r="O276" s="10" t="n">
        <f aca="false">M276-N276</f>
        <v>59229.570278032</v>
      </c>
      <c r="P276" s="10" t="n">
        <f aca="false">O276-I276</f>
        <v>2994.407294032</v>
      </c>
      <c r="Q276" s="10" t="n">
        <f aca="false">(J276-D276)*(1-E276)*(1-F276)</f>
        <v>4236.40016800001</v>
      </c>
      <c r="R276" s="10" t="n">
        <f aca="false">J276*(E276-K276)*(1-F276)</f>
        <v>418.64928336</v>
      </c>
      <c r="S276" s="10" t="n">
        <f aca="false">M276*(F276-L276)</f>
        <v>-1660.64215732799</v>
      </c>
      <c r="T276" s="10" t="n">
        <f aca="false">ROUND(P276-(Q276+R276+S276),2)</f>
        <v>-0</v>
      </c>
    </row>
    <row r="277" customFormat="false" ht="15" hidden="false" customHeight="true" outlineLevel="0" collapsed="false">
      <c r="A277" s="7" t="s">
        <v>54</v>
      </c>
      <c r="B277" s="7" t="s">
        <v>72</v>
      </c>
      <c r="C277" s="7" t="s">
        <v>71</v>
      </c>
      <c r="D277" s="8" t="n">
        <v>132780.87</v>
      </c>
      <c r="E277" s="9" t="n">
        <v>0.09</v>
      </c>
      <c r="F277" s="9" t="n">
        <v>0.56</v>
      </c>
      <c r="G277" s="10" t="n">
        <f aca="false">D277*(1-E277)</f>
        <v>120830.5917</v>
      </c>
      <c r="H277" s="10" t="n">
        <f aca="false">G277*F277</f>
        <v>67665.131352</v>
      </c>
      <c r="I277" s="10" t="n">
        <f aca="false">G277-H277</f>
        <v>53165.460348</v>
      </c>
      <c r="J277" s="8" t="n">
        <v>140611.66</v>
      </c>
      <c r="K277" s="9" t="n">
        <v>0.0832</v>
      </c>
      <c r="L277" s="9" t="n">
        <v>0.5436</v>
      </c>
      <c r="M277" s="10" t="n">
        <f aca="false">J277*(1-K277)</f>
        <v>128912.769888</v>
      </c>
      <c r="N277" s="10" t="n">
        <f aca="false">M277*L277</f>
        <v>70076.9817111168</v>
      </c>
      <c r="O277" s="10" t="n">
        <f aca="false">M277-N277</f>
        <v>58835.7881768832</v>
      </c>
      <c r="P277" s="10" t="n">
        <f aca="false">O277-I277</f>
        <v>5670.32782888321</v>
      </c>
      <c r="Q277" s="10" t="n">
        <f aca="false">(J277-D277)*(1-E277)*(1-F277)</f>
        <v>3135.448316</v>
      </c>
      <c r="R277" s="10" t="n">
        <f aca="false">J277*(E277-K277)*(1-F277)</f>
        <v>420.71008672</v>
      </c>
      <c r="S277" s="10" t="n">
        <f aca="false">M277*(F277-L277)</f>
        <v>2114.16942616321</v>
      </c>
      <c r="T277" s="10" t="n">
        <f aca="false">ROUND(P277-(Q277+R277+S277),2)</f>
        <v>0</v>
      </c>
    </row>
    <row r="278" customFormat="false" ht="15" hidden="false" customHeight="true" outlineLevel="0" collapsed="false">
      <c r="A278" s="7" t="s">
        <v>55</v>
      </c>
      <c r="B278" s="7" t="s">
        <v>72</v>
      </c>
      <c r="C278" s="7" t="s">
        <v>71</v>
      </c>
      <c r="D278" s="8" t="n">
        <v>98673.34</v>
      </c>
      <c r="E278" s="9" t="n">
        <v>0.09</v>
      </c>
      <c r="F278" s="9" t="n">
        <v>0.56</v>
      </c>
      <c r="G278" s="10" t="n">
        <f aca="false">D278*(1-E278)</f>
        <v>89792.7394</v>
      </c>
      <c r="H278" s="10" t="n">
        <f aca="false">G278*F278</f>
        <v>50283.934064</v>
      </c>
      <c r="I278" s="10" t="n">
        <f aca="false">G278-H278</f>
        <v>39508.805336</v>
      </c>
      <c r="J278" s="8" t="n">
        <v>104149.92</v>
      </c>
      <c r="K278" s="9" t="n">
        <v>0.0872</v>
      </c>
      <c r="L278" s="9" t="n">
        <v>0.558</v>
      </c>
      <c r="M278" s="10" t="n">
        <f aca="false">J278*(1-K278)</f>
        <v>95068.046976</v>
      </c>
      <c r="N278" s="10" t="n">
        <f aca="false">M278*L278</f>
        <v>53047.970212608</v>
      </c>
      <c r="O278" s="10" t="n">
        <f aca="false">M278-N278</f>
        <v>42020.076763392</v>
      </c>
      <c r="P278" s="10" t="n">
        <f aca="false">O278-I278</f>
        <v>2511.271427392</v>
      </c>
      <c r="Q278" s="10" t="n">
        <f aca="false">(J278-D278)*(1-E278)*(1-F278)</f>
        <v>2192.822632</v>
      </c>
      <c r="R278" s="10" t="n">
        <f aca="false">J278*(E278-K278)*(1-F278)</f>
        <v>128.31270144</v>
      </c>
      <c r="S278" s="10" t="n">
        <f aca="false">M278*(F278-L278)</f>
        <v>190.136093952</v>
      </c>
      <c r="T278" s="10" t="n">
        <f aca="false">ROUND(P278-(Q278+R278+S278),2)</f>
        <v>0</v>
      </c>
    </row>
    <row r="279" customFormat="false" ht="15" hidden="false" customHeight="true" outlineLevel="0" collapsed="false">
      <c r="A279" s="7" t="s">
        <v>56</v>
      </c>
      <c r="B279" s="7" t="s">
        <v>72</v>
      </c>
      <c r="C279" s="7" t="s">
        <v>71</v>
      </c>
      <c r="D279" s="8" t="n">
        <v>97184.84</v>
      </c>
      <c r="E279" s="9" t="n">
        <v>0.09</v>
      </c>
      <c r="F279" s="9" t="n">
        <v>0.56</v>
      </c>
      <c r="G279" s="10" t="n">
        <f aca="false">D279*(1-E279)</f>
        <v>88438.2044</v>
      </c>
      <c r="H279" s="10" t="n">
        <f aca="false">G279*F279</f>
        <v>49525.394464</v>
      </c>
      <c r="I279" s="10" t="n">
        <f aca="false">G279-H279</f>
        <v>38912.809936</v>
      </c>
      <c r="J279" s="8" t="n">
        <v>86591.85</v>
      </c>
      <c r="K279" s="9" t="n">
        <v>0.0812</v>
      </c>
      <c r="L279" s="9" t="n">
        <v>0.5621</v>
      </c>
      <c r="M279" s="10" t="n">
        <f aca="false">J279*(1-K279)</f>
        <v>79560.59178</v>
      </c>
      <c r="N279" s="10" t="n">
        <f aca="false">M279*L279</f>
        <v>44721.008639538</v>
      </c>
      <c r="O279" s="10" t="n">
        <f aca="false">M279-N279</f>
        <v>34839.583140462</v>
      </c>
      <c r="P279" s="10" t="n">
        <f aca="false">O279-I279</f>
        <v>-4073.22679553799</v>
      </c>
      <c r="Q279" s="10" t="n">
        <f aca="false">(J279-D279)*(1-E279)*(1-F279)</f>
        <v>-4241.433196</v>
      </c>
      <c r="R279" s="10" t="n">
        <f aca="false">J279*(E279-K279)*(1-F279)</f>
        <v>335.2836432</v>
      </c>
      <c r="S279" s="10" t="n">
        <f aca="false">M279*(F279-L279)</f>
        <v>-167.077242737999</v>
      </c>
      <c r="T279" s="10" t="n">
        <f aca="false">ROUND(P279-(Q279+R279+S279),2)</f>
        <v>0</v>
      </c>
    </row>
    <row r="280" customFormat="false" ht="15" hidden="false" customHeight="true" outlineLevel="0" collapsed="false">
      <c r="A280" s="7" t="s">
        <v>57</v>
      </c>
      <c r="B280" s="7" t="s">
        <v>72</v>
      </c>
      <c r="C280" s="7" t="s">
        <v>71</v>
      </c>
      <c r="D280" s="8" t="n">
        <v>105675.71</v>
      </c>
      <c r="E280" s="9" t="n">
        <v>0.09</v>
      </c>
      <c r="F280" s="9" t="n">
        <v>0.56</v>
      </c>
      <c r="G280" s="10" t="n">
        <f aca="false">D280*(1-E280)</f>
        <v>96164.8961</v>
      </c>
      <c r="H280" s="10" t="n">
        <f aca="false">G280*F280</f>
        <v>53852.341816</v>
      </c>
      <c r="I280" s="10" t="n">
        <f aca="false">G280-H280</f>
        <v>42312.554284</v>
      </c>
      <c r="J280" s="8" t="n">
        <v>112645.65</v>
      </c>
      <c r="K280" s="9" t="n">
        <v>0.0872</v>
      </c>
      <c r="L280" s="9" t="n">
        <v>0.5536</v>
      </c>
      <c r="M280" s="10" t="n">
        <f aca="false">J280*(1-K280)</f>
        <v>102822.94932</v>
      </c>
      <c r="N280" s="10" t="n">
        <f aca="false">M280*L280</f>
        <v>56922.784743552</v>
      </c>
      <c r="O280" s="10" t="n">
        <f aca="false">M280-N280</f>
        <v>45900.164576448</v>
      </c>
      <c r="P280" s="10" t="n">
        <f aca="false">O280-I280</f>
        <v>3587.61029244801</v>
      </c>
      <c r="Q280" s="10" t="n">
        <f aca="false">(J280-D280)*(1-E280)*(1-F280)</f>
        <v>2790.763976</v>
      </c>
      <c r="R280" s="10" t="n">
        <f aca="false">J280*(E280-K280)*(1-F280)</f>
        <v>138.7794408</v>
      </c>
      <c r="S280" s="10" t="n">
        <f aca="false">M280*(F280-L280)</f>
        <v>658.066875648008</v>
      </c>
      <c r="T280" s="10" t="n">
        <f aca="false">ROUND(P280-(Q280+R280+S280),2)</f>
        <v>0</v>
      </c>
    </row>
    <row r="281" customFormat="false" ht="15" hidden="false" customHeight="true" outlineLevel="0" collapsed="false">
      <c r="A281" s="7" t="s">
        <v>58</v>
      </c>
      <c r="B281" s="7" t="s">
        <v>72</v>
      </c>
      <c r="C281" s="7" t="s">
        <v>71</v>
      </c>
      <c r="D281" s="8" t="n">
        <v>109797.1</v>
      </c>
      <c r="E281" s="9" t="n">
        <v>0.09</v>
      </c>
      <c r="F281" s="9" t="n">
        <v>0.56</v>
      </c>
      <c r="G281" s="10" t="n">
        <f aca="false">D281*(1-E281)</f>
        <v>99915.361</v>
      </c>
      <c r="H281" s="10" t="n">
        <f aca="false">G281*F281</f>
        <v>55952.60216</v>
      </c>
      <c r="I281" s="10" t="n">
        <f aca="false">G281-H281</f>
        <v>43962.75884</v>
      </c>
      <c r="J281" s="8" t="n">
        <v>113620.98</v>
      </c>
      <c r="K281" s="9" t="n">
        <v>0.0956</v>
      </c>
      <c r="L281" s="9" t="n">
        <v>0.5649</v>
      </c>
      <c r="M281" s="10" t="n">
        <f aca="false">J281*(1-K281)</f>
        <v>102758.814312</v>
      </c>
      <c r="N281" s="10" t="n">
        <f aca="false">M281*L281</f>
        <v>58048.4542048488</v>
      </c>
      <c r="O281" s="10" t="n">
        <f aca="false">M281-N281</f>
        <v>44710.3601071512</v>
      </c>
      <c r="P281" s="10" t="n">
        <f aca="false">O281-I281</f>
        <v>747.601267151207</v>
      </c>
      <c r="Q281" s="10" t="n">
        <f aca="false">(J281-D281)*(1-E281)*(1-F281)</f>
        <v>1531.081552</v>
      </c>
      <c r="R281" s="10" t="n">
        <f aca="false">J281*(E281-K281)*(1-F281)</f>
        <v>-279.96209472</v>
      </c>
      <c r="S281" s="10" t="n">
        <f aca="false">M281*(F281-L281)</f>
        <v>-503.51819012879</v>
      </c>
      <c r="T281" s="10" t="n">
        <f aca="false">ROUND(P281-(Q281+R281+S281),2)</f>
        <v>0</v>
      </c>
    </row>
    <row r="282" customFormat="false" ht="15" hidden="false" customHeight="true" outlineLevel="0" collapsed="false">
      <c r="A282" s="7" t="s">
        <v>59</v>
      </c>
      <c r="B282" s="7" t="s">
        <v>72</v>
      </c>
      <c r="C282" s="7" t="s">
        <v>71</v>
      </c>
      <c r="D282" s="8" t="n">
        <v>112838.13</v>
      </c>
      <c r="E282" s="9" t="n">
        <v>0.09</v>
      </c>
      <c r="F282" s="9" t="n">
        <v>0.56</v>
      </c>
      <c r="G282" s="10" t="n">
        <f aca="false">D282*(1-E282)</f>
        <v>102682.6983</v>
      </c>
      <c r="H282" s="10" t="n">
        <f aca="false">G282*F282</f>
        <v>57502.311048</v>
      </c>
      <c r="I282" s="10" t="n">
        <f aca="false">G282-H282</f>
        <v>45180.387252</v>
      </c>
      <c r="J282" s="8" t="n">
        <v>112639.77</v>
      </c>
      <c r="K282" s="9" t="n">
        <v>0.0867</v>
      </c>
      <c r="L282" s="9" t="n">
        <v>0.561</v>
      </c>
      <c r="M282" s="10" t="n">
        <f aca="false">J282*(1-K282)</f>
        <v>102873.901941</v>
      </c>
      <c r="N282" s="10" t="n">
        <f aca="false">M282*L282</f>
        <v>57712.258988901</v>
      </c>
      <c r="O282" s="10" t="n">
        <f aca="false">M282-N282</f>
        <v>45161.642952099</v>
      </c>
      <c r="P282" s="10" t="n">
        <f aca="false">O282-I282</f>
        <v>-18.7442999009945</v>
      </c>
      <c r="Q282" s="10" t="n">
        <f aca="false">(J282-D282)*(1-E282)*(1-F282)</f>
        <v>-79.4233440000002</v>
      </c>
      <c r="R282" s="10" t="n">
        <f aca="false">J282*(E282-K282)*(1-F282)</f>
        <v>163.55294604</v>
      </c>
      <c r="S282" s="10" t="n">
        <f aca="false">M282*(F282-L282)</f>
        <v>-102.873901941</v>
      </c>
      <c r="T282" s="10" t="n">
        <f aca="false">ROUND(P282-(Q282+R282+S282),2)</f>
        <v>0</v>
      </c>
    </row>
    <row r="283" customFormat="false" ht="15" hidden="false" customHeight="true" outlineLevel="0" collapsed="false">
      <c r="A283" s="7" t="s">
        <v>60</v>
      </c>
      <c r="B283" s="7" t="s">
        <v>72</v>
      </c>
      <c r="C283" s="7" t="s">
        <v>71</v>
      </c>
      <c r="D283" s="8" t="n">
        <v>115911.17</v>
      </c>
      <c r="E283" s="9" t="n">
        <v>0.09</v>
      </c>
      <c r="F283" s="9" t="n">
        <v>0.56</v>
      </c>
      <c r="G283" s="10" t="n">
        <f aca="false">D283*(1-E283)</f>
        <v>105479.1647</v>
      </c>
      <c r="H283" s="10" t="n">
        <f aca="false">G283*F283</f>
        <v>59068.332232</v>
      </c>
      <c r="I283" s="10" t="n">
        <f aca="false">G283-H283</f>
        <v>46410.832468</v>
      </c>
      <c r="J283" s="8" t="n">
        <v>123301.79</v>
      </c>
      <c r="K283" s="9" t="n">
        <v>0.1035</v>
      </c>
      <c r="L283" s="9" t="n">
        <v>0.5616</v>
      </c>
      <c r="M283" s="10" t="n">
        <f aca="false">J283*(1-K283)</f>
        <v>110540.054735</v>
      </c>
      <c r="N283" s="10" t="n">
        <f aca="false">M283*L283</f>
        <v>62079.294739176</v>
      </c>
      <c r="O283" s="10" t="n">
        <f aca="false">M283-N283</f>
        <v>48460.759995824</v>
      </c>
      <c r="P283" s="10" t="n">
        <f aca="false">O283-I283</f>
        <v>2049.92752782399</v>
      </c>
      <c r="Q283" s="10" t="n">
        <f aca="false">(J283-D283)*(1-E283)*(1-F283)</f>
        <v>2959.204248</v>
      </c>
      <c r="R283" s="10" t="n">
        <f aca="false">J283*(E283-K283)*(1-F283)</f>
        <v>-732.4126326</v>
      </c>
      <c r="S283" s="10" t="n">
        <f aca="false">M283*(F283-L283)</f>
        <v>-176.864087575993</v>
      </c>
      <c r="T283" s="10" t="n">
        <f aca="false">ROUND(P283-(Q283+R283+S283),2)</f>
        <v>-0</v>
      </c>
    </row>
    <row r="284" customFormat="false" ht="15" hidden="false" customHeight="true" outlineLevel="0" collapsed="false">
      <c r="A284" s="7" t="s">
        <v>61</v>
      </c>
      <c r="B284" s="7" t="s">
        <v>72</v>
      </c>
      <c r="C284" s="7" t="s">
        <v>71</v>
      </c>
      <c r="D284" s="8" t="n">
        <v>114438.67</v>
      </c>
      <c r="E284" s="9" t="n">
        <v>0.09</v>
      </c>
      <c r="F284" s="9" t="n">
        <v>0.56</v>
      </c>
      <c r="G284" s="10" t="n">
        <f aca="false">D284*(1-E284)</f>
        <v>104139.1897</v>
      </c>
      <c r="H284" s="10" t="n">
        <f aca="false">G284*F284</f>
        <v>58317.946232</v>
      </c>
      <c r="I284" s="10" t="n">
        <f aca="false">G284-H284</f>
        <v>45821.243468</v>
      </c>
      <c r="J284" s="8" t="n">
        <v>115958.54</v>
      </c>
      <c r="K284" s="9" t="n">
        <v>0.0744</v>
      </c>
      <c r="L284" s="9" t="n">
        <v>0.5739</v>
      </c>
      <c r="M284" s="10" t="n">
        <f aca="false">J284*(1-K284)</f>
        <v>107331.224624</v>
      </c>
      <c r="N284" s="10" t="n">
        <f aca="false">M284*L284</f>
        <v>61597.3898117136</v>
      </c>
      <c r="O284" s="10" t="n">
        <f aca="false">M284-N284</f>
        <v>45733.8348122864</v>
      </c>
      <c r="P284" s="10" t="n">
        <f aca="false">O284-I284</f>
        <v>-87.4086557135888</v>
      </c>
      <c r="Q284" s="10" t="n">
        <f aca="false">(J284-D284)*(1-E284)*(1-F284)</f>
        <v>608.555947999998</v>
      </c>
      <c r="R284" s="10" t="n">
        <f aca="false">J284*(E284-K284)*(1-F284)</f>
        <v>795.93941856</v>
      </c>
      <c r="S284" s="10" t="n">
        <f aca="false">M284*(F284-L284)</f>
        <v>-1491.90402227359</v>
      </c>
      <c r="T284" s="10" t="n">
        <f aca="false">ROUND(P284-(Q284+R284+S284),2)</f>
        <v>0</v>
      </c>
    </row>
    <row r="285" customFormat="false" ht="15" hidden="false" customHeight="true" outlineLevel="0" collapsed="false">
      <c r="A285" s="7" t="s">
        <v>62</v>
      </c>
      <c r="B285" s="7" t="s">
        <v>72</v>
      </c>
      <c r="C285" s="7" t="s">
        <v>71</v>
      </c>
      <c r="D285" s="8" t="n">
        <v>118696.11</v>
      </c>
      <c r="E285" s="9" t="n">
        <v>0.09</v>
      </c>
      <c r="F285" s="9" t="n">
        <v>0.56</v>
      </c>
      <c r="G285" s="10" t="n">
        <f aca="false">D285*(1-E285)</f>
        <v>108013.4601</v>
      </c>
      <c r="H285" s="10" t="n">
        <f aca="false">G285*F285</f>
        <v>60487.537656</v>
      </c>
      <c r="I285" s="10" t="n">
        <f aca="false">G285-H285</f>
        <v>47525.922444</v>
      </c>
      <c r="J285" s="8" t="n">
        <v>121320.21</v>
      </c>
      <c r="K285" s="9" t="n">
        <v>0.0919</v>
      </c>
      <c r="L285" s="9" t="n">
        <v>0.5609</v>
      </c>
      <c r="M285" s="10" t="n">
        <f aca="false">J285*(1-K285)</f>
        <v>110170.882701</v>
      </c>
      <c r="N285" s="10" t="n">
        <f aca="false">M285*L285</f>
        <v>61794.8481069909</v>
      </c>
      <c r="O285" s="10" t="n">
        <f aca="false">M285-N285</f>
        <v>48376.0345940091</v>
      </c>
      <c r="P285" s="10" t="n">
        <f aca="false">O285-I285</f>
        <v>850.11215000911</v>
      </c>
      <c r="Q285" s="10" t="n">
        <f aca="false">(J285-D285)*(1-E285)*(1-F285)</f>
        <v>1050.68964</v>
      </c>
      <c r="R285" s="10" t="n">
        <f aca="false">J285*(E285-K285)*(1-F285)</f>
        <v>-101.42369556</v>
      </c>
      <c r="S285" s="10" t="n">
        <f aca="false">M285*(F285-L285)</f>
        <v>-99.1537944308891</v>
      </c>
      <c r="T285" s="10" t="n">
        <f aca="false">ROUND(P285-(Q285+R285+S285),2)</f>
        <v>0</v>
      </c>
    </row>
    <row r="286" customFormat="false" ht="15" hidden="false" customHeight="true" outlineLevel="0" collapsed="false">
      <c r="A286" s="7" t="s">
        <v>63</v>
      </c>
      <c r="B286" s="7" t="s">
        <v>72</v>
      </c>
      <c r="C286" s="7" t="s">
        <v>71</v>
      </c>
      <c r="D286" s="8" t="n">
        <v>121841.17</v>
      </c>
      <c r="E286" s="9" t="n">
        <v>0.09</v>
      </c>
      <c r="F286" s="9" t="n">
        <v>0.56</v>
      </c>
      <c r="G286" s="10" t="n">
        <f aca="false">D286*(1-E286)</f>
        <v>110875.4647</v>
      </c>
      <c r="H286" s="10" t="n">
        <f aca="false">G286*F286</f>
        <v>62090.260232</v>
      </c>
      <c r="I286" s="10" t="n">
        <f aca="false">G286-H286</f>
        <v>48785.204468</v>
      </c>
      <c r="J286" s="8" t="n">
        <v>125119.2</v>
      </c>
      <c r="K286" s="9" t="n">
        <v>0.0771</v>
      </c>
      <c r="L286" s="9" t="n">
        <v>0.5774</v>
      </c>
      <c r="M286" s="10" t="n">
        <f aca="false">J286*(1-K286)</f>
        <v>115472.50968</v>
      </c>
      <c r="N286" s="10" t="n">
        <f aca="false">M286*L286</f>
        <v>66673.827089232</v>
      </c>
      <c r="O286" s="10" t="n">
        <f aca="false">M286-N286</f>
        <v>48798.682590768</v>
      </c>
      <c r="P286" s="10" t="n">
        <f aca="false">O286-I286</f>
        <v>13.4781227680069</v>
      </c>
      <c r="Q286" s="10" t="n">
        <f aca="false">(J286-D286)*(1-E286)*(1-F286)</f>
        <v>1312.523212</v>
      </c>
      <c r="R286" s="10" t="n">
        <f aca="false">J286*(E286-K286)*(1-F286)</f>
        <v>710.1765792</v>
      </c>
      <c r="S286" s="10" t="n">
        <f aca="false">M286*(F286-L286)</f>
        <v>-2009.221668432</v>
      </c>
      <c r="T286" s="10" t="n">
        <f aca="false">ROUND(P286-(Q286+R286+S286),2)</f>
        <v>0</v>
      </c>
    </row>
    <row r="287" customFormat="false" ht="15" hidden="false" customHeight="true" outlineLevel="0" collapsed="false">
      <c r="A287" s="7" t="s">
        <v>64</v>
      </c>
      <c r="B287" s="7" t="s">
        <v>72</v>
      </c>
      <c r="C287" s="7" t="s">
        <v>71</v>
      </c>
      <c r="D287" s="8" t="n">
        <v>128523.43</v>
      </c>
      <c r="E287" s="9" t="n">
        <v>0.09</v>
      </c>
      <c r="F287" s="9" t="n">
        <v>0.56</v>
      </c>
      <c r="G287" s="10" t="n">
        <f aca="false">D287*(1-E287)</f>
        <v>116956.3213</v>
      </c>
      <c r="H287" s="10" t="n">
        <f aca="false">G287*F287</f>
        <v>65495.539928</v>
      </c>
      <c r="I287" s="10" t="n">
        <f aca="false">G287-H287</f>
        <v>51460.781372</v>
      </c>
      <c r="J287" s="8" t="n">
        <v>125444.27</v>
      </c>
      <c r="K287" s="9" t="n">
        <v>0.0954</v>
      </c>
      <c r="L287" s="9" t="n">
        <v>0.5638</v>
      </c>
      <c r="M287" s="10" t="n">
        <f aca="false">J287*(1-K287)</f>
        <v>113476.886642</v>
      </c>
      <c r="N287" s="10" t="n">
        <f aca="false">M287*L287</f>
        <v>63978.2686887596</v>
      </c>
      <c r="O287" s="10" t="n">
        <f aca="false">M287-N287</f>
        <v>49498.6179532404</v>
      </c>
      <c r="P287" s="10" t="n">
        <f aca="false">O287-I287</f>
        <v>-1962.16341875958</v>
      </c>
      <c r="Q287" s="10" t="n">
        <f aca="false">(J287-D287)*(1-E287)*(1-F287)</f>
        <v>-1232.895664</v>
      </c>
      <c r="R287" s="10" t="n">
        <f aca="false">J287*(E287-K287)*(1-F287)</f>
        <v>-298.05558552</v>
      </c>
      <c r="S287" s="10" t="n">
        <f aca="false">M287*(F287-L287)</f>
        <v>-431.21216923959</v>
      </c>
      <c r="T287" s="10" t="n">
        <f aca="false">ROUND(P287-(Q287+R287+S287),2)</f>
        <v>0</v>
      </c>
    </row>
    <row r="288" customFormat="false" ht="15" hidden="false" customHeight="true" outlineLevel="0" collapsed="false">
      <c r="A288" s="7" t="s">
        <v>65</v>
      </c>
      <c r="B288" s="7" t="s">
        <v>72</v>
      </c>
      <c r="C288" s="7" t="s">
        <v>71</v>
      </c>
      <c r="D288" s="8" t="n">
        <v>152931.68</v>
      </c>
      <c r="E288" s="9" t="n">
        <v>0.09</v>
      </c>
      <c r="F288" s="9" t="n">
        <v>0.56</v>
      </c>
      <c r="G288" s="10" t="n">
        <f aca="false">D288*(1-E288)</f>
        <v>139167.8288</v>
      </c>
      <c r="H288" s="10" t="n">
        <f aca="false">G288*F288</f>
        <v>77933.984128</v>
      </c>
      <c r="I288" s="10" t="n">
        <f aca="false">G288-H288</f>
        <v>61233.844672</v>
      </c>
      <c r="J288" s="8" t="n">
        <v>155333.19</v>
      </c>
      <c r="K288" s="9" t="n">
        <v>0.0771</v>
      </c>
      <c r="L288" s="9" t="n">
        <v>0.5599</v>
      </c>
      <c r="M288" s="10" t="n">
        <f aca="false">J288*(1-K288)</f>
        <v>143357.001051</v>
      </c>
      <c r="N288" s="10" t="n">
        <f aca="false">M288*L288</f>
        <v>80265.5848884549</v>
      </c>
      <c r="O288" s="10" t="n">
        <f aca="false">M288-N288</f>
        <v>63091.4161625451</v>
      </c>
      <c r="P288" s="10" t="n">
        <f aca="false">O288-I288</f>
        <v>1857.57149054512</v>
      </c>
      <c r="Q288" s="10" t="n">
        <f aca="false">(J288-D288)*(1-E288)*(1-F288)</f>
        <v>961.564604000004</v>
      </c>
      <c r="R288" s="10" t="n">
        <f aca="false">J288*(E288-K288)*(1-F288)</f>
        <v>881.67118644</v>
      </c>
      <c r="S288" s="10" t="n">
        <f aca="false">M288*(F288-L288)</f>
        <v>14.3357001051143</v>
      </c>
      <c r="T288" s="10" t="n">
        <f aca="false">ROUND(P288-(Q288+R288+S288),2)</f>
        <v>0</v>
      </c>
    </row>
    <row r="289" customFormat="false" ht="15" hidden="false" customHeight="true" outlineLevel="0" collapsed="false">
      <c r="A289" s="7" t="s">
        <v>66</v>
      </c>
      <c r="B289" s="7" t="s">
        <v>72</v>
      </c>
      <c r="C289" s="7" t="s">
        <v>71</v>
      </c>
      <c r="D289" s="8" t="n">
        <v>144496.83</v>
      </c>
      <c r="E289" s="9" t="n">
        <v>0.09</v>
      </c>
      <c r="F289" s="9" t="n">
        <v>0.56</v>
      </c>
      <c r="G289" s="10" t="n">
        <f aca="false">D289*(1-E289)</f>
        <v>131492.1153</v>
      </c>
      <c r="H289" s="10" t="n">
        <f aca="false">G289*F289</f>
        <v>73635.584568</v>
      </c>
      <c r="I289" s="10" t="n">
        <f aca="false">G289-H289</f>
        <v>57856.530732</v>
      </c>
      <c r="J289" s="8" t="n">
        <v>134460.01</v>
      </c>
      <c r="K289" s="9" t="n">
        <v>0.0761</v>
      </c>
      <c r="L289" s="9" t="n">
        <v>0.56</v>
      </c>
      <c r="M289" s="10" t="n">
        <f aca="false">J289*(1-K289)</f>
        <v>124227.603239</v>
      </c>
      <c r="N289" s="10" t="n">
        <f aca="false">M289*L289</f>
        <v>69567.45781384</v>
      </c>
      <c r="O289" s="10" t="n">
        <f aca="false">M289-N289</f>
        <v>54660.14542516</v>
      </c>
      <c r="P289" s="10" t="n">
        <f aca="false">O289-I289</f>
        <v>-3196.38530684001</v>
      </c>
      <c r="Q289" s="10" t="n">
        <f aca="false">(J289-D289)*(1-E289)*(1-F289)</f>
        <v>-4018.74272799999</v>
      </c>
      <c r="R289" s="10" t="n">
        <f aca="false">J289*(E289-K289)*(1-F289)</f>
        <v>822.35742116</v>
      </c>
      <c r="S289" s="10" t="n">
        <f aca="false">M289*(F289-L289)</f>
        <v>0</v>
      </c>
      <c r="T289" s="10" t="n">
        <f aca="false">ROUND(P289-(Q289+R289+S289),2)</f>
        <v>-0</v>
      </c>
    </row>
    <row r="290" customFormat="false" ht="15" hidden="false" customHeight="true" outlineLevel="0" collapsed="false">
      <c r="A290" s="7" t="s">
        <v>41</v>
      </c>
      <c r="B290" s="7" t="s">
        <v>73</v>
      </c>
      <c r="C290" s="7" t="s">
        <v>43</v>
      </c>
      <c r="D290" s="8" t="n">
        <v>247322.79</v>
      </c>
      <c r="E290" s="9" t="n">
        <v>0.1</v>
      </c>
      <c r="F290" s="9" t="n">
        <v>0.62</v>
      </c>
      <c r="G290" s="10" t="n">
        <f aca="false">D290*(1-E290)</f>
        <v>222590.511</v>
      </c>
      <c r="H290" s="10" t="n">
        <f aca="false">G290*F290</f>
        <v>138006.11682</v>
      </c>
      <c r="I290" s="10" t="n">
        <f aca="false">G290-H290</f>
        <v>84584.39418</v>
      </c>
      <c r="J290" s="8" t="n">
        <v>257980.38</v>
      </c>
      <c r="K290" s="9" t="n">
        <v>0.1183</v>
      </c>
      <c r="L290" s="9" t="n">
        <v>0.6191</v>
      </c>
      <c r="M290" s="10" t="n">
        <f aca="false">J290*(1-K290)</f>
        <v>227461.301046</v>
      </c>
      <c r="N290" s="10" t="n">
        <f aca="false">M290*L290</f>
        <v>140821.291477579</v>
      </c>
      <c r="O290" s="10" t="n">
        <f aca="false">M290-N290</f>
        <v>86640.0095684214</v>
      </c>
      <c r="P290" s="10" t="n">
        <f aca="false">O290-I290</f>
        <v>2055.6153884214</v>
      </c>
      <c r="Q290" s="10" t="n">
        <f aca="false">(J290-D290)*(1-E290)*(1-F290)</f>
        <v>3644.89578</v>
      </c>
      <c r="R290" s="10" t="n">
        <f aca="false">J290*(E290-K290)*(1-F290)</f>
        <v>-1793.99556252</v>
      </c>
      <c r="S290" s="10" t="n">
        <f aca="false">M290*(F290-L290)</f>
        <v>204.715170941403</v>
      </c>
      <c r="T290" s="10" t="n">
        <f aca="false">ROUND(P290-(Q290+R290+S290),2)</f>
        <v>0</v>
      </c>
    </row>
    <row r="291" customFormat="false" ht="15" hidden="false" customHeight="true" outlineLevel="0" collapsed="false">
      <c r="A291" s="7" t="s">
        <v>44</v>
      </c>
      <c r="B291" s="7" t="s">
        <v>73</v>
      </c>
      <c r="C291" s="7" t="s">
        <v>43</v>
      </c>
      <c r="D291" s="8" t="n">
        <v>243761.34</v>
      </c>
      <c r="E291" s="9" t="n">
        <v>0.1</v>
      </c>
      <c r="F291" s="9" t="n">
        <v>0.62</v>
      </c>
      <c r="G291" s="10" t="n">
        <f aca="false">D291*(1-E291)</f>
        <v>219385.206</v>
      </c>
      <c r="H291" s="10" t="n">
        <f aca="false">G291*F291</f>
        <v>136018.82772</v>
      </c>
      <c r="I291" s="10" t="n">
        <f aca="false">G291-H291</f>
        <v>83366.37828</v>
      </c>
      <c r="J291" s="8" t="n">
        <v>243208.18</v>
      </c>
      <c r="K291" s="9" t="n">
        <v>0.0818</v>
      </c>
      <c r="L291" s="9" t="n">
        <v>0.6177</v>
      </c>
      <c r="M291" s="10" t="n">
        <f aca="false">J291*(1-K291)</f>
        <v>223313.750876</v>
      </c>
      <c r="N291" s="10" t="n">
        <f aca="false">M291*L291</f>
        <v>137940.903916105</v>
      </c>
      <c r="O291" s="10" t="n">
        <f aca="false">M291-N291</f>
        <v>85372.8469598948</v>
      </c>
      <c r="P291" s="10" t="n">
        <f aca="false">O291-I291</f>
        <v>2006.46867989478</v>
      </c>
      <c r="Q291" s="10" t="n">
        <f aca="false">(J291-D291)*(1-E291)*(1-F291)</f>
        <v>-189.180720000001</v>
      </c>
      <c r="R291" s="10" t="n">
        <f aca="false">J291*(E291-K291)*(1-F291)</f>
        <v>1682.02777288</v>
      </c>
      <c r="S291" s="10" t="n">
        <f aca="false">M291*(F291-L291)</f>
        <v>513.621627014793</v>
      </c>
      <c r="T291" s="10" t="n">
        <f aca="false">ROUND(P291-(Q291+R291+S291),2)</f>
        <v>-0</v>
      </c>
    </row>
    <row r="292" customFormat="false" ht="15" hidden="false" customHeight="true" outlineLevel="0" collapsed="false">
      <c r="A292" s="7" t="s">
        <v>45</v>
      </c>
      <c r="B292" s="7" t="s">
        <v>73</v>
      </c>
      <c r="C292" s="7" t="s">
        <v>43</v>
      </c>
      <c r="D292" s="8" t="n">
        <v>265239.95</v>
      </c>
      <c r="E292" s="9" t="n">
        <v>0.1</v>
      </c>
      <c r="F292" s="9" t="n">
        <v>0.62</v>
      </c>
      <c r="G292" s="10" t="n">
        <f aca="false">D292*(1-E292)</f>
        <v>238715.955</v>
      </c>
      <c r="H292" s="10" t="n">
        <f aca="false">G292*F292</f>
        <v>148003.8921</v>
      </c>
      <c r="I292" s="10" t="n">
        <f aca="false">G292-H292</f>
        <v>90712.0629</v>
      </c>
      <c r="J292" s="8" t="n">
        <v>271940.85</v>
      </c>
      <c r="K292" s="9" t="n">
        <v>0.1034</v>
      </c>
      <c r="L292" s="9" t="n">
        <v>0.63</v>
      </c>
      <c r="M292" s="10" t="n">
        <f aca="false">J292*(1-K292)</f>
        <v>243822.16611</v>
      </c>
      <c r="N292" s="10" t="n">
        <f aca="false">M292*L292</f>
        <v>153607.9646493</v>
      </c>
      <c r="O292" s="10" t="n">
        <f aca="false">M292-N292</f>
        <v>90214.2014607</v>
      </c>
      <c r="P292" s="10" t="n">
        <f aca="false">O292-I292</f>
        <v>-497.861439300032</v>
      </c>
      <c r="Q292" s="10" t="n">
        <f aca="false">(J292-D292)*(1-E292)*(1-F292)</f>
        <v>2291.70779999999</v>
      </c>
      <c r="R292" s="10" t="n">
        <f aca="false">J292*(E292-K292)*(1-F292)</f>
        <v>-351.3475782</v>
      </c>
      <c r="S292" s="10" t="n">
        <f aca="false">M292*(F292-L292)</f>
        <v>-2438.2216611</v>
      </c>
      <c r="T292" s="10" t="n">
        <f aca="false">ROUND(P292-(Q292+R292+S292),2)</f>
        <v>-0</v>
      </c>
    </row>
    <row r="293" customFormat="false" ht="15" hidden="false" customHeight="true" outlineLevel="0" collapsed="false">
      <c r="A293" s="7" t="s">
        <v>46</v>
      </c>
      <c r="B293" s="7" t="s">
        <v>73</v>
      </c>
      <c r="C293" s="7" t="s">
        <v>43</v>
      </c>
      <c r="D293" s="8" t="n">
        <v>275770.4</v>
      </c>
      <c r="E293" s="9" t="n">
        <v>0.1</v>
      </c>
      <c r="F293" s="9" t="n">
        <v>0.62</v>
      </c>
      <c r="G293" s="10" t="n">
        <f aca="false">D293*(1-E293)</f>
        <v>248193.36</v>
      </c>
      <c r="H293" s="10" t="n">
        <f aca="false">G293*F293</f>
        <v>153879.8832</v>
      </c>
      <c r="I293" s="10" t="n">
        <f aca="false">G293-H293</f>
        <v>94313.4768</v>
      </c>
      <c r="J293" s="8" t="n">
        <v>263763.79</v>
      </c>
      <c r="K293" s="9" t="n">
        <v>0.1032</v>
      </c>
      <c r="L293" s="9" t="n">
        <v>0.6137</v>
      </c>
      <c r="M293" s="10" t="n">
        <f aca="false">J293*(1-K293)</f>
        <v>236543.366872</v>
      </c>
      <c r="N293" s="10" t="n">
        <f aca="false">M293*L293</f>
        <v>145166.664249346</v>
      </c>
      <c r="O293" s="10" t="n">
        <f aca="false">M293-N293</f>
        <v>91376.7026226536</v>
      </c>
      <c r="P293" s="10" t="n">
        <f aca="false">O293-I293</f>
        <v>-2936.77417734641</v>
      </c>
      <c r="Q293" s="10" t="n">
        <f aca="false">(J293-D293)*(1-E293)*(1-F293)</f>
        <v>-4106.26062000002</v>
      </c>
      <c r="R293" s="10" t="n">
        <f aca="false">J293*(E293-K293)*(1-F293)</f>
        <v>-320.736768639999</v>
      </c>
      <c r="S293" s="10" t="n">
        <f aca="false">M293*(F293-L293)</f>
        <v>1490.22321129359</v>
      </c>
      <c r="T293" s="10" t="n">
        <f aca="false">ROUND(P293-(Q293+R293+S293),2)</f>
        <v>0</v>
      </c>
    </row>
    <row r="294" customFormat="false" ht="15" hidden="false" customHeight="true" outlineLevel="0" collapsed="false">
      <c r="A294" s="7" t="s">
        <v>47</v>
      </c>
      <c r="B294" s="7" t="s">
        <v>73</v>
      </c>
      <c r="C294" s="7" t="s">
        <v>43</v>
      </c>
      <c r="D294" s="8" t="n">
        <v>283596.8</v>
      </c>
      <c r="E294" s="9" t="n">
        <v>0.1</v>
      </c>
      <c r="F294" s="9" t="n">
        <v>0.62</v>
      </c>
      <c r="G294" s="10" t="n">
        <f aca="false">D294*(1-E294)</f>
        <v>255237.12</v>
      </c>
      <c r="H294" s="10" t="n">
        <f aca="false">G294*F294</f>
        <v>158247.0144</v>
      </c>
      <c r="I294" s="10" t="n">
        <f aca="false">G294-H294</f>
        <v>96990.1056</v>
      </c>
      <c r="J294" s="8" t="n">
        <v>273577.58</v>
      </c>
      <c r="K294" s="9" t="n">
        <v>0.1001</v>
      </c>
      <c r="L294" s="9" t="n">
        <v>0.6125</v>
      </c>
      <c r="M294" s="10" t="n">
        <f aca="false">J294*(1-K294)</f>
        <v>246192.464242</v>
      </c>
      <c r="N294" s="10" t="n">
        <f aca="false">M294*L294</f>
        <v>150792.884348225</v>
      </c>
      <c r="O294" s="10" t="n">
        <f aca="false">M294-N294</f>
        <v>95399.579893775</v>
      </c>
      <c r="P294" s="10" t="n">
        <f aca="false">O294-I294</f>
        <v>-1590.52570622502</v>
      </c>
      <c r="Q294" s="10" t="n">
        <f aca="false">(J294-D294)*(1-E294)*(1-F294)</f>
        <v>-3426.57323999999</v>
      </c>
      <c r="R294" s="10" t="n">
        <f aca="false">J294*(E294-K294)*(1-F294)</f>
        <v>-10.3959480399989</v>
      </c>
      <c r="S294" s="10" t="n">
        <f aca="false">M294*(F294-L294)</f>
        <v>1846.44348181499</v>
      </c>
      <c r="T294" s="10" t="n">
        <f aca="false">ROUND(P294-(Q294+R294+S294),2)</f>
        <v>-0</v>
      </c>
    </row>
    <row r="295" customFormat="false" ht="15" hidden="false" customHeight="true" outlineLevel="0" collapsed="false">
      <c r="A295" s="7" t="s">
        <v>48</v>
      </c>
      <c r="B295" s="7" t="s">
        <v>73</v>
      </c>
      <c r="C295" s="7" t="s">
        <v>43</v>
      </c>
      <c r="D295" s="8" t="n">
        <v>291511.12</v>
      </c>
      <c r="E295" s="9" t="n">
        <v>0.1</v>
      </c>
      <c r="F295" s="9" t="n">
        <v>0.62</v>
      </c>
      <c r="G295" s="10" t="n">
        <f aca="false">D295*(1-E295)</f>
        <v>262360.008</v>
      </c>
      <c r="H295" s="10" t="n">
        <f aca="false">G295*F295</f>
        <v>162663.20496</v>
      </c>
      <c r="I295" s="10" t="n">
        <f aca="false">G295-H295</f>
        <v>99696.80304</v>
      </c>
      <c r="J295" s="8" t="n">
        <v>296305.98</v>
      </c>
      <c r="K295" s="9" t="n">
        <v>0.0968</v>
      </c>
      <c r="L295" s="9" t="n">
        <v>0.6019</v>
      </c>
      <c r="M295" s="10" t="n">
        <f aca="false">J295*(1-K295)</f>
        <v>267623.561136</v>
      </c>
      <c r="N295" s="10" t="n">
        <f aca="false">M295*L295</f>
        <v>161082.621447758</v>
      </c>
      <c r="O295" s="10" t="n">
        <f aca="false">M295-N295</f>
        <v>106540.939688242</v>
      </c>
      <c r="P295" s="10" t="n">
        <f aca="false">O295-I295</f>
        <v>6844.13664824161</v>
      </c>
      <c r="Q295" s="10" t="n">
        <f aca="false">(J295-D295)*(1-E295)*(1-F295)</f>
        <v>1639.84212</v>
      </c>
      <c r="R295" s="10" t="n">
        <f aca="false">J295*(E295-K295)*(1-F295)</f>
        <v>360.308071680001</v>
      </c>
      <c r="S295" s="10" t="n">
        <f aca="false">M295*(F295-L295)</f>
        <v>4843.9864565616</v>
      </c>
      <c r="T295" s="10" t="n">
        <f aca="false">ROUND(P295-(Q295+R295+S295),2)</f>
        <v>0</v>
      </c>
    </row>
    <row r="296" customFormat="false" ht="15" hidden="false" customHeight="true" outlineLevel="0" collapsed="false">
      <c r="A296" s="7" t="s">
        <v>49</v>
      </c>
      <c r="B296" s="7" t="s">
        <v>73</v>
      </c>
      <c r="C296" s="7" t="s">
        <v>43</v>
      </c>
      <c r="D296" s="8" t="n">
        <v>287993.65</v>
      </c>
      <c r="E296" s="9" t="n">
        <v>0.1</v>
      </c>
      <c r="F296" s="9" t="n">
        <v>0.62</v>
      </c>
      <c r="G296" s="10" t="n">
        <f aca="false">D296*(1-E296)</f>
        <v>259194.285</v>
      </c>
      <c r="H296" s="10" t="n">
        <f aca="false">G296*F296</f>
        <v>160700.4567</v>
      </c>
      <c r="I296" s="10" t="n">
        <f aca="false">G296-H296</f>
        <v>98493.8283</v>
      </c>
      <c r="J296" s="8" t="n">
        <v>309426.32</v>
      </c>
      <c r="K296" s="9" t="n">
        <v>0.0849</v>
      </c>
      <c r="L296" s="9" t="n">
        <v>0.6176</v>
      </c>
      <c r="M296" s="10" t="n">
        <f aca="false">J296*(1-K296)</f>
        <v>283156.025432</v>
      </c>
      <c r="N296" s="10" t="n">
        <f aca="false">M296*L296</f>
        <v>174877.161306803</v>
      </c>
      <c r="O296" s="10" t="n">
        <f aca="false">M296-N296</f>
        <v>108278.864125197</v>
      </c>
      <c r="P296" s="10" t="n">
        <f aca="false">O296-I296</f>
        <v>9785.03582519677</v>
      </c>
      <c r="Q296" s="10" t="n">
        <f aca="false">(J296-D296)*(1-E296)*(1-F296)</f>
        <v>7329.97314</v>
      </c>
      <c r="R296" s="10" t="n">
        <f aca="false">J296*(E296-K296)*(1-F296)</f>
        <v>1775.48822416</v>
      </c>
      <c r="S296" s="10" t="n">
        <f aca="false">M296*(F296-L296)</f>
        <v>679.574461036788</v>
      </c>
      <c r="T296" s="10" t="n">
        <f aca="false">ROUND(P296-(Q296+R296+S296),2)</f>
        <v>0</v>
      </c>
    </row>
    <row r="297" customFormat="false" ht="15" hidden="false" customHeight="true" outlineLevel="0" collapsed="false">
      <c r="A297" s="7" t="s">
        <v>50</v>
      </c>
      <c r="B297" s="7" t="s">
        <v>73</v>
      </c>
      <c r="C297" s="7" t="s">
        <v>43</v>
      </c>
      <c r="D297" s="8" t="n">
        <v>298897.83</v>
      </c>
      <c r="E297" s="9" t="n">
        <v>0.1</v>
      </c>
      <c r="F297" s="9" t="n">
        <v>0.62</v>
      </c>
      <c r="G297" s="10" t="n">
        <f aca="false">D297*(1-E297)</f>
        <v>269008.047</v>
      </c>
      <c r="H297" s="10" t="n">
        <f aca="false">G297*F297</f>
        <v>166784.98914</v>
      </c>
      <c r="I297" s="10" t="n">
        <f aca="false">G297-H297</f>
        <v>102223.05786</v>
      </c>
      <c r="J297" s="8" t="n">
        <v>276921.28</v>
      </c>
      <c r="K297" s="9" t="n">
        <v>0.0846</v>
      </c>
      <c r="L297" s="9" t="n">
        <v>0.6171</v>
      </c>
      <c r="M297" s="10" t="n">
        <f aca="false">J297*(1-K297)</f>
        <v>253493.739712</v>
      </c>
      <c r="N297" s="10" t="n">
        <f aca="false">M297*L297</f>
        <v>156430.986776275</v>
      </c>
      <c r="O297" s="10" t="n">
        <f aca="false">M297-N297</f>
        <v>97062.7529357248</v>
      </c>
      <c r="P297" s="10" t="n">
        <f aca="false">O297-I297</f>
        <v>-5160.3049242752</v>
      </c>
      <c r="Q297" s="10" t="n">
        <f aca="false">(J297-D297)*(1-E297)*(1-F297)</f>
        <v>-7515.9801</v>
      </c>
      <c r="R297" s="10" t="n">
        <f aca="false">J297*(E297-K297)*(1-F297)</f>
        <v>1620.54333056</v>
      </c>
      <c r="S297" s="10" t="n">
        <f aca="false">M297*(F297-L297)</f>
        <v>735.131845164804</v>
      </c>
      <c r="T297" s="10" t="n">
        <f aca="false">ROUND(P297-(Q297+R297+S297),2)</f>
        <v>0</v>
      </c>
    </row>
    <row r="298" customFormat="false" ht="15" hidden="false" customHeight="true" outlineLevel="0" collapsed="false">
      <c r="A298" s="7" t="s">
        <v>51</v>
      </c>
      <c r="B298" s="7" t="s">
        <v>73</v>
      </c>
      <c r="C298" s="7" t="s">
        <v>43</v>
      </c>
      <c r="D298" s="8" t="n">
        <v>307010.02</v>
      </c>
      <c r="E298" s="9" t="n">
        <v>0.1</v>
      </c>
      <c r="F298" s="9" t="n">
        <v>0.62</v>
      </c>
      <c r="G298" s="10" t="n">
        <f aca="false">D298*(1-E298)</f>
        <v>276309.018</v>
      </c>
      <c r="H298" s="10" t="n">
        <f aca="false">G298*F298</f>
        <v>171311.59116</v>
      </c>
      <c r="I298" s="10" t="n">
        <f aca="false">G298-H298</f>
        <v>104997.42684</v>
      </c>
      <c r="J298" s="8" t="n">
        <v>283197.67</v>
      </c>
      <c r="K298" s="9" t="n">
        <v>0.0945</v>
      </c>
      <c r="L298" s="9" t="n">
        <v>0.6206</v>
      </c>
      <c r="M298" s="10" t="n">
        <f aca="false">J298*(1-K298)</f>
        <v>256435.490185</v>
      </c>
      <c r="N298" s="10" t="n">
        <f aca="false">M298*L298</f>
        <v>159143.865208811</v>
      </c>
      <c r="O298" s="10" t="n">
        <f aca="false">M298-N298</f>
        <v>97291.624976189</v>
      </c>
      <c r="P298" s="10" t="n">
        <f aca="false">O298-I298</f>
        <v>-7705.80186381104</v>
      </c>
      <c r="Q298" s="10" t="n">
        <f aca="false">(J298-D298)*(1-E298)*(1-F298)</f>
        <v>-8143.82370000001</v>
      </c>
      <c r="R298" s="10" t="n">
        <f aca="false">J298*(E298-K298)*(1-F298)</f>
        <v>591.883130300001</v>
      </c>
      <c r="S298" s="10" t="n">
        <f aca="false">M298*(F298-L298)</f>
        <v>-153.861294111012</v>
      </c>
      <c r="T298" s="10" t="n">
        <f aca="false">ROUND(P298-(Q298+R298+S298),2)</f>
        <v>0</v>
      </c>
    </row>
    <row r="299" customFormat="false" ht="15" hidden="false" customHeight="true" outlineLevel="0" collapsed="false">
      <c r="A299" s="7" t="s">
        <v>52</v>
      </c>
      <c r="B299" s="7" t="s">
        <v>73</v>
      </c>
      <c r="C299" s="7" t="s">
        <v>43</v>
      </c>
      <c r="D299" s="8" t="n">
        <v>324047.81</v>
      </c>
      <c r="E299" s="9" t="n">
        <v>0.1</v>
      </c>
      <c r="F299" s="9" t="n">
        <v>0.62</v>
      </c>
      <c r="G299" s="10" t="n">
        <f aca="false">D299*(1-E299)</f>
        <v>291643.029</v>
      </c>
      <c r="H299" s="10" t="n">
        <f aca="false">G299*F299</f>
        <v>180818.67798</v>
      </c>
      <c r="I299" s="10" t="n">
        <f aca="false">G299-H299</f>
        <v>110824.35102</v>
      </c>
      <c r="J299" s="8" t="n">
        <v>313879.87</v>
      </c>
      <c r="K299" s="9" t="n">
        <v>0.0991</v>
      </c>
      <c r="L299" s="9" t="n">
        <v>0.6133</v>
      </c>
      <c r="M299" s="10" t="n">
        <f aca="false">J299*(1-K299)</f>
        <v>282774.374883</v>
      </c>
      <c r="N299" s="10" t="n">
        <f aca="false">M299*L299</f>
        <v>173425.524115744</v>
      </c>
      <c r="O299" s="10" t="n">
        <f aca="false">M299-N299</f>
        <v>109348.850767256</v>
      </c>
      <c r="P299" s="10" t="n">
        <f aca="false">O299-I299</f>
        <v>-1475.50025274389</v>
      </c>
      <c r="Q299" s="10" t="n">
        <f aca="false">(J299-D299)*(1-E299)*(1-F299)</f>
        <v>-3477.43548</v>
      </c>
      <c r="R299" s="10" t="n">
        <f aca="false">J299*(E299-K299)*(1-F299)</f>
        <v>107.346915540001</v>
      </c>
      <c r="S299" s="10" t="n">
        <f aca="false">M299*(F299-L299)</f>
        <v>1894.58831171611</v>
      </c>
      <c r="T299" s="10" t="n">
        <f aca="false">ROUND(P299-(Q299+R299+S299),2)</f>
        <v>0</v>
      </c>
    </row>
    <row r="300" customFormat="false" ht="15" hidden="false" customHeight="true" outlineLevel="0" collapsed="false">
      <c r="A300" s="7" t="s">
        <v>53</v>
      </c>
      <c r="B300" s="7" t="s">
        <v>73</v>
      </c>
      <c r="C300" s="7" t="s">
        <v>43</v>
      </c>
      <c r="D300" s="8" t="n">
        <v>385823.55</v>
      </c>
      <c r="E300" s="9" t="n">
        <v>0.1</v>
      </c>
      <c r="F300" s="9" t="n">
        <v>0.62</v>
      </c>
      <c r="G300" s="10" t="n">
        <f aca="false">D300*(1-E300)</f>
        <v>347241.195</v>
      </c>
      <c r="H300" s="10" t="n">
        <f aca="false">G300*F300</f>
        <v>215289.5409</v>
      </c>
      <c r="I300" s="10" t="n">
        <f aca="false">G300-H300</f>
        <v>131951.6541</v>
      </c>
      <c r="J300" s="8" t="n">
        <v>408489.35</v>
      </c>
      <c r="K300" s="9" t="n">
        <v>0.0852</v>
      </c>
      <c r="L300" s="9" t="n">
        <v>0.6172</v>
      </c>
      <c r="M300" s="10" t="n">
        <f aca="false">J300*(1-K300)</f>
        <v>373686.05738</v>
      </c>
      <c r="N300" s="10" t="n">
        <f aca="false">M300*L300</f>
        <v>230639.034614936</v>
      </c>
      <c r="O300" s="10" t="n">
        <f aca="false">M300-N300</f>
        <v>143047.022765064</v>
      </c>
      <c r="P300" s="10" t="n">
        <f aca="false">O300-I300</f>
        <v>11095.368665064</v>
      </c>
      <c r="Q300" s="10" t="n">
        <f aca="false">(J300-D300)*(1-E300)*(1-F300)</f>
        <v>7751.7036</v>
      </c>
      <c r="R300" s="10" t="n">
        <f aca="false">J300*(E300-K300)*(1-F300)</f>
        <v>2297.3441044</v>
      </c>
      <c r="S300" s="10" t="n">
        <f aca="false">M300*(F300-L300)</f>
        <v>1046.32096066401</v>
      </c>
      <c r="T300" s="10" t="n">
        <f aca="false">ROUND(P300-(Q300+R300+S300),2)</f>
        <v>0</v>
      </c>
    </row>
    <row r="301" customFormat="false" ht="15" hidden="false" customHeight="true" outlineLevel="0" collapsed="false">
      <c r="A301" s="7" t="s">
        <v>54</v>
      </c>
      <c r="B301" s="7" t="s">
        <v>73</v>
      </c>
      <c r="C301" s="7" t="s">
        <v>43</v>
      </c>
      <c r="D301" s="8" t="n">
        <v>364762.64</v>
      </c>
      <c r="E301" s="9" t="n">
        <v>0.1</v>
      </c>
      <c r="F301" s="9" t="n">
        <v>0.62</v>
      </c>
      <c r="G301" s="10" t="n">
        <f aca="false">D301*(1-E301)</f>
        <v>328286.376</v>
      </c>
      <c r="H301" s="10" t="n">
        <f aca="false">G301*F301</f>
        <v>203537.55312</v>
      </c>
      <c r="I301" s="10" t="n">
        <f aca="false">G301-H301</f>
        <v>124748.82288</v>
      </c>
      <c r="J301" s="8" t="n">
        <v>367435.78</v>
      </c>
      <c r="K301" s="9" t="n">
        <v>0.0945</v>
      </c>
      <c r="L301" s="9" t="n">
        <v>0.6001</v>
      </c>
      <c r="M301" s="10" t="n">
        <f aca="false">J301*(1-K301)</f>
        <v>332713.09879</v>
      </c>
      <c r="N301" s="10" t="n">
        <f aca="false">M301*L301</f>
        <v>199661.130583879</v>
      </c>
      <c r="O301" s="10" t="n">
        <f aca="false">M301-N301</f>
        <v>133051.968206121</v>
      </c>
      <c r="P301" s="10" t="n">
        <f aca="false">O301-I301</f>
        <v>8303.14532612098</v>
      </c>
      <c r="Q301" s="10" t="n">
        <f aca="false">(J301-D301)*(1-E301)*(1-F301)</f>
        <v>914.213880000005</v>
      </c>
      <c r="R301" s="10" t="n">
        <f aca="false">J301*(E301-K301)*(1-F301)</f>
        <v>767.940780200001</v>
      </c>
      <c r="S301" s="10" t="n">
        <f aca="false">M301*(F301-L301)</f>
        <v>6620.99066592101</v>
      </c>
      <c r="T301" s="10" t="n">
        <f aca="false">ROUND(P301-(Q301+R301+S301),2)</f>
        <v>-0</v>
      </c>
    </row>
    <row r="302" customFormat="false" ht="15" hidden="false" customHeight="true" outlineLevel="0" collapsed="false">
      <c r="A302" s="7" t="s">
        <v>55</v>
      </c>
      <c r="B302" s="7" t="s">
        <v>73</v>
      </c>
      <c r="C302" s="7" t="s">
        <v>43</v>
      </c>
      <c r="D302" s="8" t="n">
        <v>271065.77</v>
      </c>
      <c r="E302" s="9" t="n">
        <v>0.1</v>
      </c>
      <c r="F302" s="9" t="n">
        <v>0.62</v>
      </c>
      <c r="G302" s="10" t="n">
        <f aca="false">D302*(1-E302)</f>
        <v>243959.193</v>
      </c>
      <c r="H302" s="10" t="n">
        <f aca="false">G302*F302</f>
        <v>151254.69966</v>
      </c>
      <c r="I302" s="10" t="n">
        <f aca="false">G302-H302</f>
        <v>92704.49334</v>
      </c>
      <c r="J302" s="8" t="n">
        <v>288904.59</v>
      </c>
      <c r="K302" s="9" t="n">
        <v>0.118</v>
      </c>
      <c r="L302" s="9" t="n">
        <v>0.6148</v>
      </c>
      <c r="M302" s="10" t="n">
        <f aca="false">J302*(1-K302)</f>
        <v>254813.84838</v>
      </c>
      <c r="N302" s="10" t="n">
        <f aca="false">M302*L302</f>
        <v>156659.553984024</v>
      </c>
      <c r="O302" s="10" t="n">
        <f aca="false">M302-N302</f>
        <v>98154.294395976</v>
      </c>
      <c r="P302" s="10" t="n">
        <f aca="false">O302-I302</f>
        <v>5449.80105597599</v>
      </c>
      <c r="Q302" s="10" t="n">
        <f aca="false">(J302-D302)*(1-E302)*(1-F302)</f>
        <v>6100.87644</v>
      </c>
      <c r="R302" s="10" t="n">
        <f aca="false">J302*(E302-K302)*(1-F302)</f>
        <v>-1976.1073956</v>
      </c>
      <c r="S302" s="10" t="n">
        <f aca="false">M302*(F302-L302)</f>
        <v>1325.032011576</v>
      </c>
      <c r="T302" s="10" t="n">
        <f aca="false">ROUND(P302-(Q302+R302+S302),2)</f>
        <v>0</v>
      </c>
    </row>
    <row r="303" customFormat="false" ht="15" hidden="false" customHeight="true" outlineLevel="0" collapsed="false">
      <c r="A303" s="7" t="s">
        <v>56</v>
      </c>
      <c r="B303" s="7" t="s">
        <v>73</v>
      </c>
      <c r="C303" s="7" t="s">
        <v>43</v>
      </c>
      <c r="D303" s="8" t="n">
        <v>266976.7</v>
      </c>
      <c r="E303" s="9" t="n">
        <v>0.1</v>
      </c>
      <c r="F303" s="9" t="n">
        <v>0.62</v>
      </c>
      <c r="G303" s="10" t="n">
        <f aca="false">D303*(1-E303)</f>
        <v>240279.03</v>
      </c>
      <c r="H303" s="10" t="n">
        <f aca="false">G303*F303</f>
        <v>148972.9986</v>
      </c>
      <c r="I303" s="10" t="n">
        <f aca="false">G303-H303</f>
        <v>91306.0314</v>
      </c>
      <c r="J303" s="8" t="n">
        <v>264107.27</v>
      </c>
      <c r="K303" s="9" t="n">
        <v>0.1067</v>
      </c>
      <c r="L303" s="9" t="n">
        <v>0.6079</v>
      </c>
      <c r="M303" s="10" t="n">
        <f aca="false">J303*(1-K303)</f>
        <v>235927.024291</v>
      </c>
      <c r="N303" s="10" t="n">
        <f aca="false">M303*L303</f>
        <v>143420.038066499</v>
      </c>
      <c r="O303" s="10" t="n">
        <f aca="false">M303-N303</f>
        <v>92506.9862245011</v>
      </c>
      <c r="P303" s="10" t="n">
        <f aca="false">O303-I303</f>
        <v>1200.9548245011</v>
      </c>
      <c r="Q303" s="10" t="n">
        <f aca="false">(J303-D303)*(1-E303)*(1-F303)</f>
        <v>-981.345059999998</v>
      </c>
      <c r="R303" s="10" t="n">
        <f aca="false">J303*(E303-K303)*(1-F303)</f>
        <v>-672.41710942</v>
      </c>
      <c r="S303" s="10" t="n">
        <f aca="false">M303*(F303-L303)</f>
        <v>2854.7169939211</v>
      </c>
      <c r="T303" s="10" t="n">
        <f aca="false">ROUND(P303-(Q303+R303+S303),2)</f>
        <v>-0</v>
      </c>
    </row>
    <row r="304" customFormat="false" ht="15" hidden="false" customHeight="true" outlineLevel="0" collapsed="false">
      <c r="A304" s="7" t="s">
        <v>57</v>
      </c>
      <c r="B304" s="7" t="s">
        <v>73</v>
      </c>
      <c r="C304" s="7" t="s">
        <v>43</v>
      </c>
      <c r="D304" s="8" t="n">
        <v>290301.99</v>
      </c>
      <c r="E304" s="9" t="n">
        <v>0.1</v>
      </c>
      <c r="F304" s="9" t="n">
        <v>0.62</v>
      </c>
      <c r="G304" s="10" t="n">
        <f aca="false">D304*(1-E304)</f>
        <v>261271.791</v>
      </c>
      <c r="H304" s="10" t="n">
        <f aca="false">G304*F304</f>
        <v>161988.51042</v>
      </c>
      <c r="I304" s="10" t="n">
        <f aca="false">G304-H304</f>
        <v>99283.28058</v>
      </c>
      <c r="J304" s="8" t="n">
        <v>277525</v>
      </c>
      <c r="K304" s="9" t="n">
        <v>0.1116</v>
      </c>
      <c r="L304" s="9" t="n">
        <v>0.6258</v>
      </c>
      <c r="M304" s="10" t="n">
        <f aca="false">J304*(1-K304)</f>
        <v>246553.21</v>
      </c>
      <c r="N304" s="10" t="n">
        <f aca="false">M304*L304</f>
        <v>154292.998818</v>
      </c>
      <c r="O304" s="10" t="n">
        <f aca="false">M304-N304</f>
        <v>92260.211182</v>
      </c>
      <c r="P304" s="10" t="n">
        <f aca="false">O304-I304</f>
        <v>-7023.06939799999</v>
      </c>
      <c r="Q304" s="10" t="n">
        <f aca="false">(J304-D304)*(1-E304)*(1-F304)</f>
        <v>-4369.73058</v>
      </c>
      <c r="R304" s="10" t="n">
        <f aca="false">J304*(E304-K304)*(1-F304)</f>
        <v>-1223.3302</v>
      </c>
      <c r="S304" s="10" t="n">
        <f aca="false">M304*(F304-L304)</f>
        <v>-1430.00861800001</v>
      </c>
      <c r="T304" s="10" t="n">
        <f aca="false">ROUND(P304-(Q304+R304+S304),2)</f>
        <v>0</v>
      </c>
    </row>
    <row r="305" customFormat="false" ht="15" hidden="false" customHeight="true" outlineLevel="0" collapsed="false">
      <c r="A305" s="7" t="s">
        <v>58</v>
      </c>
      <c r="B305" s="7" t="s">
        <v>73</v>
      </c>
      <c r="C305" s="7" t="s">
        <v>43</v>
      </c>
      <c r="D305" s="8" t="n">
        <v>301623.88</v>
      </c>
      <c r="E305" s="9" t="n">
        <v>0.1</v>
      </c>
      <c r="F305" s="9" t="n">
        <v>0.62</v>
      </c>
      <c r="G305" s="10" t="n">
        <f aca="false">D305*(1-E305)</f>
        <v>271461.492</v>
      </c>
      <c r="H305" s="10" t="n">
        <f aca="false">G305*F305</f>
        <v>168306.12504</v>
      </c>
      <c r="I305" s="10" t="n">
        <f aca="false">G305-H305</f>
        <v>103155.36696</v>
      </c>
      <c r="J305" s="8" t="n">
        <v>298182.12</v>
      </c>
      <c r="K305" s="9" t="n">
        <v>0.1055</v>
      </c>
      <c r="L305" s="9" t="n">
        <v>0.6245</v>
      </c>
      <c r="M305" s="10" t="n">
        <f aca="false">J305*(1-K305)</f>
        <v>266723.90634</v>
      </c>
      <c r="N305" s="10" t="n">
        <f aca="false">M305*L305</f>
        <v>166569.07950933</v>
      </c>
      <c r="O305" s="10" t="n">
        <f aca="false">M305-N305</f>
        <v>100154.82683067</v>
      </c>
      <c r="P305" s="10" t="n">
        <f aca="false">O305-I305</f>
        <v>-3000.54012933004</v>
      </c>
      <c r="Q305" s="10" t="n">
        <f aca="false">(J305-D305)*(1-E305)*(1-F305)</f>
        <v>-1177.08192</v>
      </c>
      <c r="R305" s="10" t="n">
        <f aca="false">J305*(E305-K305)*(1-F305)</f>
        <v>-623.200630799999</v>
      </c>
      <c r="S305" s="10" t="n">
        <f aca="false">M305*(F305-L305)</f>
        <v>-1200.25757853002</v>
      </c>
      <c r="T305" s="10" t="n">
        <f aca="false">ROUND(P305-(Q305+R305+S305),2)</f>
        <v>-0</v>
      </c>
    </row>
    <row r="306" customFormat="false" ht="15" hidden="false" customHeight="true" outlineLevel="0" collapsed="false">
      <c r="A306" s="7" t="s">
        <v>59</v>
      </c>
      <c r="B306" s="7" t="s">
        <v>73</v>
      </c>
      <c r="C306" s="7" t="s">
        <v>43</v>
      </c>
      <c r="D306" s="8" t="n">
        <v>309977.89</v>
      </c>
      <c r="E306" s="9" t="n">
        <v>0.1</v>
      </c>
      <c r="F306" s="9" t="n">
        <v>0.62</v>
      </c>
      <c r="G306" s="10" t="n">
        <f aca="false">D306*(1-E306)</f>
        <v>278980.101</v>
      </c>
      <c r="H306" s="10" t="n">
        <f aca="false">G306*F306</f>
        <v>172967.66262</v>
      </c>
      <c r="I306" s="10" t="n">
        <f aca="false">G306-H306</f>
        <v>106012.43838</v>
      </c>
      <c r="J306" s="8" t="n">
        <v>316820.35</v>
      </c>
      <c r="K306" s="9" t="n">
        <v>0.0846</v>
      </c>
      <c r="L306" s="9" t="n">
        <v>0.6176</v>
      </c>
      <c r="M306" s="10" t="n">
        <f aca="false">J306*(1-K306)</f>
        <v>290017.34839</v>
      </c>
      <c r="N306" s="10" t="n">
        <f aca="false">M306*L306</f>
        <v>179114.714365664</v>
      </c>
      <c r="O306" s="10" t="n">
        <f aca="false">M306-N306</f>
        <v>110902.634024336</v>
      </c>
      <c r="P306" s="10" t="n">
        <f aca="false">O306-I306</f>
        <v>4890.195644336</v>
      </c>
      <c r="Q306" s="10" t="n">
        <f aca="false">(J306-D306)*(1-E306)*(1-F306)</f>
        <v>2340.12131999999</v>
      </c>
      <c r="R306" s="10" t="n">
        <f aca="false">J306*(E306-K306)*(1-F306)</f>
        <v>1854.0326882</v>
      </c>
      <c r="S306" s="10" t="n">
        <f aca="false">M306*(F306-L306)</f>
        <v>696.041636135988</v>
      </c>
      <c r="T306" s="10" t="n">
        <f aca="false">ROUND(P306-(Q306+R306+S306),2)</f>
        <v>0</v>
      </c>
    </row>
    <row r="307" customFormat="false" ht="15" hidden="false" customHeight="true" outlineLevel="0" collapsed="false">
      <c r="A307" s="7" t="s">
        <v>60</v>
      </c>
      <c r="B307" s="7" t="s">
        <v>73</v>
      </c>
      <c r="C307" s="7" t="s">
        <v>43</v>
      </c>
      <c r="D307" s="8" t="n">
        <v>318419.84</v>
      </c>
      <c r="E307" s="9" t="n">
        <v>0.1</v>
      </c>
      <c r="F307" s="9" t="n">
        <v>0.62</v>
      </c>
      <c r="G307" s="10" t="n">
        <f aca="false">D307*(1-E307)</f>
        <v>286577.856</v>
      </c>
      <c r="H307" s="10" t="n">
        <f aca="false">G307*F307</f>
        <v>177678.27072</v>
      </c>
      <c r="I307" s="10" t="n">
        <f aca="false">G307-H307</f>
        <v>108899.58528</v>
      </c>
      <c r="J307" s="8" t="n">
        <v>301823.96</v>
      </c>
      <c r="K307" s="9" t="n">
        <v>0.102</v>
      </c>
      <c r="L307" s="9" t="n">
        <v>0.6078</v>
      </c>
      <c r="M307" s="10" t="n">
        <f aca="false">J307*(1-K307)</f>
        <v>271037.91608</v>
      </c>
      <c r="N307" s="10" t="n">
        <f aca="false">M307*L307</f>
        <v>164736.845393424</v>
      </c>
      <c r="O307" s="10" t="n">
        <f aca="false">M307-N307</f>
        <v>106301.070686576</v>
      </c>
      <c r="P307" s="10" t="n">
        <f aca="false">O307-I307</f>
        <v>-2598.51459342398</v>
      </c>
      <c r="Q307" s="10" t="n">
        <f aca="false">(J307-D307)*(1-E307)*(1-F307)</f>
        <v>-5675.79096</v>
      </c>
      <c r="R307" s="10" t="n">
        <f aca="false">J307*(E307-K307)*(1-F307)</f>
        <v>-229.386209599999</v>
      </c>
      <c r="S307" s="10" t="n">
        <f aca="false">M307*(F307-L307)</f>
        <v>3306.662576176</v>
      </c>
      <c r="T307" s="10" t="n">
        <f aca="false">ROUND(P307-(Q307+R307+S307),2)</f>
        <v>0</v>
      </c>
    </row>
    <row r="308" customFormat="false" ht="15" hidden="false" customHeight="true" outlineLevel="0" collapsed="false">
      <c r="A308" s="7" t="s">
        <v>61</v>
      </c>
      <c r="B308" s="7" t="s">
        <v>73</v>
      </c>
      <c r="C308" s="7" t="s">
        <v>43</v>
      </c>
      <c r="D308" s="8" t="n">
        <v>314374.74</v>
      </c>
      <c r="E308" s="9" t="n">
        <v>0.1</v>
      </c>
      <c r="F308" s="9" t="n">
        <v>0.62</v>
      </c>
      <c r="G308" s="10" t="n">
        <f aca="false">D308*(1-E308)</f>
        <v>282937.266</v>
      </c>
      <c r="H308" s="10" t="n">
        <f aca="false">G308*F308</f>
        <v>175421.10492</v>
      </c>
      <c r="I308" s="10" t="n">
        <f aca="false">G308-H308</f>
        <v>107516.16108</v>
      </c>
      <c r="J308" s="8" t="n">
        <v>317983.67</v>
      </c>
      <c r="K308" s="9" t="n">
        <v>0.1025</v>
      </c>
      <c r="L308" s="9" t="n">
        <v>0.6056</v>
      </c>
      <c r="M308" s="10" t="n">
        <f aca="false">J308*(1-K308)</f>
        <v>285390.343825</v>
      </c>
      <c r="N308" s="10" t="n">
        <f aca="false">M308*L308</f>
        <v>172832.39222042</v>
      </c>
      <c r="O308" s="10" t="n">
        <f aca="false">M308-N308</f>
        <v>112557.95160458</v>
      </c>
      <c r="P308" s="10" t="n">
        <f aca="false">O308-I308</f>
        <v>5041.79052457999</v>
      </c>
      <c r="Q308" s="10" t="n">
        <f aca="false">(J308-D308)*(1-E308)*(1-F308)</f>
        <v>1234.25406</v>
      </c>
      <c r="R308" s="10" t="n">
        <f aca="false">J308*(E308-K308)*(1-F308)</f>
        <v>-302.084486499999</v>
      </c>
      <c r="S308" s="10" t="n">
        <f aca="false">M308*(F308-L308)</f>
        <v>4109.62095107999</v>
      </c>
      <c r="T308" s="10" t="n">
        <f aca="false">ROUND(P308-(Q308+R308+S308),2)</f>
        <v>0</v>
      </c>
    </row>
    <row r="309" customFormat="false" ht="15" hidden="false" customHeight="true" outlineLevel="0" collapsed="false">
      <c r="A309" s="7" t="s">
        <v>62</v>
      </c>
      <c r="B309" s="7" t="s">
        <v>73</v>
      </c>
      <c r="C309" s="7" t="s">
        <v>43</v>
      </c>
      <c r="D309" s="8" t="n">
        <v>326070.36</v>
      </c>
      <c r="E309" s="9" t="n">
        <v>0.1</v>
      </c>
      <c r="F309" s="9" t="n">
        <v>0.62</v>
      </c>
      <c r="G309" s="10" t="n">
        <f aca="false">D309*(1-E309)</f>
        <v>293463.324</v>
      </c>
      <c r="H309" s="10" t="n">
        <f aca="false">G309*F309</f>
        <v>181947.26088</v>
      </c>
      <c r="I309" s="10" t="n">
        <f aca="false">G309-H309</f>
        <v>111516.06312</v>
      </c>
      <c r="J309" s="8" t="n">
        <v>327424.35</v>
      </c>
      <c r="K309" s="9" t="n">
        <v>0.1114</v>
      </c>
      <c r="L309" s="9" t="n">
        <v>0.6281</v>
      </c>
      <c r="M309" s="10" t="n">
        <f aca="false">J309*(1-K309)</f>
        <v>290949.27741</v>
      </c>
      <c r="N309" s="10" t="n">
        <f aca="false">M309*L309</f>
        <v>182745.241141221</v>
      </c>
      <c r="O309" s="10" t="n">
        <f aca="false">M309-N309</f>
        <v>108204.036268779</v>
      </c>
      <c r="P309" s="10" t="n">
        <f aca="false">O309-I309</f>
        <v>-3312.02685122102</v>
      </c>
      <c r="Q309" s="10" t="n">
        <f aca="false">(J309-D309)*(1-E309)*(1-F309)</f>
        <v>463.064579999997</v>
      </c>
      <c r="R309" s="10" t="n">
        <f aca="false">J309*(E309-K309)*(1-F309)</f>
        <v>-1418.4022842</v>
      </c>
      <c r="S309" s="10" t="n">
        <f aca="false">M309*(F309-L309)</f>
        <v>-2356.689147021</v>
      </c>
      <c r="T309" s="10" t="n">
        <f aca="false">ROUND(P309-(Q309+R309+S309),2)</f>
        <v>-0</v>
      </c>
    </row>
    <row r="310" customFormat="false" ht="15" hidden="false" customHeight="true" outlineLevel="0" collapsed="false">
      <c r="A310" s="7" t="s">
        <v>63</v>
      </c>
      <c r="B310" s="7" t="s">
        <v>73</v>
      </c>
      <c r="C310" s="7" t="s">
        <v>43</v>
      </c>
      <c r="D310" s="8" t="n">
        <v>334710.17</v>
      </c>
      <c r="E310" s="9" t="n">
        <v>0.1</v>
      </c>
      <c r="F310" s="9" t="n">
        <v>0.62</v>
      </c>
      <c r="G310" s="10" t="n">
        <f aca="false">D310*(1-E310)</f>
        <v>301239.153</v>
      </c>
      <c r="H310" s="10" t="n">
        <f aca="false">G310*F310</f>
        <v>186768.27486</v>
      </c>
      <c r="I310" s="10" t="n">
        <f aca="false">G310-H310</f>
        <v>114470.87814</v>
      </c>
      <c r="J310" s="8" t="n">
        <v>332263.91</v>
      </c>
      <c r="K310" s="9" t="n">
        <v>0.1249</v>
      </c>
      <c r="L310" s="9" t="n">
        <v>0.6103</v>
      </c>
      <c r="M310" s="10" t="n">
        <f aca="false">J310*(1-K310)</f>
        <v>290764.147641</v>
      </c>
      <c r="N310" s="10" t="n">
        <f aca="false">M310*L310</f>
        <v>177453.359305302</v>
      </c>
      <c r="O310" s="10" t="n">
        <f aca="false">M310-N310</f>
        <v>113310.788335698</v>
      </c>
      <c r="P310" s="10" t="n">
        <f aca="false">O310-I310</f>
        <v>-1160.08980430229</v>
      </c>
      <c r="Q310" s="10" t="n">
        <f aca="false">(J310-D310)*(1-E310)*(1-F310)</f>
        <v>-836.620920000003</v>
      </c>
      <c r="R310" s="10" t="n">
        <f aca="false">J310*(E310-K310)*(1-F310)</f>
        <v>-3143.88111642</v>
      </c>
      <c r="S310" s="10" t="n">
        <f aca="false">M310*(F310-L310)</f>
        <v>2820.41223211771</v>
      </c>
      <c r="T310" s="10" t="n">
        <f aca="false">ROUND(P310-(Q310+R310+S310),2)</f>
        <v>0</v>
      </c>
    </row>
    <row r="311" customFormat="false" ht="15" hidden="false" customHeight="true" outlineLevel="0" collapsed="false">
      <c r="A311" s="7" t="s">
        <v>64</v>
      </c>
      <c r="B311" s="7" t="s">
        <v>73</v>
      </c>
      <c r="C311" s="7" t="s">
        <v>43</v>
      </c>
      <c r="D311" s="8" t="n">
        <v>353067.02</v>
      </c>
      <c r="E311" s="9" t="n">
        <v>0.1</v>
      </c>
      <c r="F311" s="9" t="n">
        <v>0.62</v>
      </c>
      <c r="G311" s="10" t="n">
        <f aca="false">D311*(1-E311)</f>
        <v>317760.318</v>
      </c>
      <c r="H311" s="10" t="n">
        <f aca="false">G311*F311</f>
        <v>197011.39716</v>
      </c>
      <c r="I311" s="10" t="n">
        <f aca="false">G311-H311</f>
        <v>120748.92084</v>
      </c>
      <c r="J311" s="8" t="n">
        <v>363233.21</v>
      </c>
      <c r="K311" s="9" t="n">
        <v>0.0942</v>
      </c>
      <c r="L311" s="9" t="n">
        <v>0.6012</v>
      </c>
      <c r="M311" s="10" t="n">
        <f aca="false">J311*(1-K311)</f>
        <v>329016.641618</v>
      </c>
      <c r="N311" s="10" t="n">
        <f aca="false">M311*L311</f>
        <v>197804.804940742</v>
      </c>
      <c r="O311" s="10" t="n">
        <f aca="false">M311-N311</f>
        <v>131211.836677258</v>
      </c>
      <c r="P311" s="10" t="n">
        <f aca="false">O311-I311</f>
        <v>10462.9158372584</v>
      </c>
      <c r="Q311" s="10" t="n">
        <f aca="false">(J311-D311)*(1-E311)*(1-F311)</f>
        <v>3476.83698</v>
      </c>
      <c r="R311" s="10" t="n">
        <f aca="false">J311*(E311-K311)*(1-F311)</f>
        <v>800.56599484</v>
      </c>
      <c r="S311" s="10" t="n">
        <f aca="false">M311*(F311-L311)</f>
        <v>6185.51286241841</v>
      </c>
      <c r="T311" s="10" t="n">
        <f aca="false">ROUND(P311-(Q311+R311+S311),2)</f>
        <v>0</v>
      </c>
    </row>
    <row r="312" customFormat="false" ht="15" hidden="false" customHeight="true" outlineLevel="0" collapsed="false">
      <c r="A312" s="7" t="s">
        <v>65</v>
      </c>
      <c r="B312" s="7" t="s">
        <v>73</v>
      </c>
      <c r="C312" s="7" t="s">
        <v>43</v>
      </c>
      <c r="D312" s="8" t="n">
        <v>420118.97</v>
      </c>
      <c r="E312" s="9" t="n">
        <v>0.1</v>
      </c>
      <c r="F312" s="9" t="n">
        <v>0.62</v>
      </c>
      <c r="G312" s="10" t="n">
        <f aca="false">D312*(1-E312)</f>
        <v>378107.073</v>
      </c>
      <c r="H312" s="10" t="n">
        <f aca="false">G312*F312</f>
        <v>234426.38526</v>
      </c>
      <c r="I312" s="10" t="n">
        <f aca="false">G312-H312</f>
        <v>143680.68774</v>
      </c>
      <c r="J312" s="8" t="n">
        <v>390780.66</v>
      </c>
      <c r="K312" s="9" t="n">
        <v>0.1015</v>
      </c>
      <c r="L312" s="9" t="n">
        <v>0.6131</v>
      </c>
      <c r="M312" s="10" t="n">
        <f aca="false">J312*(1-K312)</f>
        <v>351116.42301</v>
      </c>
      <c r="N312" s="10" t="n">
        <f aca="false">M312*L312</f>
        <v>215269.478947431</v>
      </c>
      <c r="O312" s="10" t="n">
        <f aca="false">M312-N312</f>
        <v>135846.944062569</v>
      </c>
      <c r="P312" s="10" t="n">
        <f aca="false">O312-I312</f>
        <v>-7833.74367743099</v>
      </c>
      <c r="Q312" s="10" t="n">
        <f aca="false">(J312-D312)*(1-E312)*(1-F312)</f>
        <v>-10033.70202</v>
      </c>
      <c r="R312" s="10" t="n">
        <f aca="false">J312*(E312-K312)*(1-F312)</f>
        <v>-222.7449762</v>
      </c>
      <c r="S312" s="10" t="n">
        <f aca="false">M312*(F312-L312)</f>
        <v>2422.70331876901</v>
      </c>
      <c r="T312" s="10" t="n">
        <f aca="false">ROUND(P312-(Q312+R312+S312),2)</f>
        <v>0</v>
      </c>
    </row>
    <row r="313" customFormat="false" ht="15" hidden="false" customHeight="true" outlineLevel="0" collapsed="false">
      <c r="A313" s="7" t="s">
        <v>66</v>
      </c>
      <c r="B313" s="7" t="s">
        <v>73</v>
      </c>
      <c r="C313" s="7" t="s">
        <v>43</v>
      </c>
      <c r="D313" s="8" t="n">
        <v>396947.58</v>
      </c>
      <c r="E313" s="9" t="n">
        <v>0.1</v>
      </c>
      <c r="F313" s="9" t="n">
        <v>0.62</v>
      </c>
      <c r="G313" s="10" t="n">
        <f aca="false">D313*(1-E313)</f>
        <v>357252.822</v>
      </c>
      <c r="H313" s="10" t="n">
        <f aca="false">G313*F313</f>
        <v>221496.74964</v>
      </c>
      <c r="I313" s="10" t="n">
        <f aca="false">G313-H313</f>
        <v>135756.07236</v>
      </c>
      <c r="J313" s="8" t="n">
        <v>380350.32</v>
      </c>
      <c r="K313" s="9" t="n">
        <v>0.1079</v>
      </c>
      <c r="L313" s="9" t="n">
        <v>0.6305</v>
      </c>
      <c r="M313" s="10" t="n">
        <f aca="false">J313*(1-K313)</f>
        <v>339310.520472</v>
      </c>
      <c r="N313" s="10" t="n">
        <f aca="false">M313*L313</f>
        <v>213935.283157596</v>
      </c>
      <c r="O313" s="10" t="n">
        <f aca="false">M313-N313</f>
        <v>125375.237314404</v>
      </c>
      <c r="P313" s="10" t="n">
        <f aca="false">O313-I313</f>
        <v>-10380.835045596</v>
      </c>
      <c r="Q313" s="10" t="n">
        <f aca="false">(J313-D313)*(1-E313)*(1-F313)</f>
        <v>-5676.26292</v>
      </c>
      <c r="R313" s="10" t="n">
        <f aca="false">J313*(E313-K313)*(1-F313)</f>
        <v>-1141.81166064</v>
      </c>
      <c r="S313" s="10" t="n">
        <f aca="false">M313*(F313-L313)</f>
        <v>-3562.76046495598</v>
      </c>
      <c r="T313" s="10" t="n">
        <f aca="false">ROUND(P313-(Q313+R313+S313),2)</f>
        <v>0</v>
      </c>
    </row>
    <row r="314" customFormat="false" ht="15" hidden="false" customHeight="true" outlineLevel="0" collapsed="false">
      <c r="A314" s="7" t="s">
        <v>41</v>
      </c>
      <c r="B314" s="7" t="s">
        <v>73</v>
      </c>
      <c r="C314" s="7" t="s">
        <v>67</v>
      </c>
      <c r="D314" s="8" t="n">
        <v>154172.46</v>
      </c>
      <c r="E314" s="9" t="n">
        <v>0.12</v>
      </c>
      <c r="F314" s="9" t="n">
        <v>0.58</v>
      </c>
      <c r="G314" s="10" t="n">
        <f aca="false">D314*(1-E314)</f>
        <v>135671.7648</v>
      </c>
      <c r="H314" s="10" t="n">
        <f aca="false">G314*F314</f>
        <v>78689.623584</v>
      </c>
      <c r="I314" s="10" t="n">
        <f aca="false">G314-H314</f>
        <v>56982.141216</v>
      </c>
      <c r="J314" s="8" t="n">
        <v>158174.71</v>
      </c>
      <c r="K314" s="9" t="n">
        <v>0.1104</v>
      </c>
      <c r="L314" s="9" t="n">
        <v>0.6017</v>
      </c>
      <c r="M314" s="10" t="n">
        <f aca="false">J314*(1-K314)</f>
        <v>140712.222016</v>
      </c>
      <c r="N314" s="10" t="n">
        <f aca="false">M314*L314</f>
        <v>84666.5439870272</v>
      </c>
      <c r="O314" s="10" t="n">
        <f aca="false">M314-N314</f>
        <v>56045.6780289728</v>
      </c>
      <c r="P314" s="10" t="n">
        <f aca="false">O314-I314</f>
        <v>-936.463187027213</v>
      </c>
      <c r="Q314" s="10" t="n">
        <f aca="false">(J314-D314)*(1-E314)*(1-F314)</f>
        <v>1479.2316</v>
      </c>
      <c r="R314" s="10" t="n">
        <f aca="false">J314*(E314-K314)*(1-F314)</f>
        <v>637.76043072</v>
      </c>
      <c r="S314" s="10" t="n">
        <f aca="false">M314*(F314-L314)</f>
        <v>-3053.45521774721</v>
      </c>
      <c r="T314" s="10" t="n">
        <f aca="false">ROUND(P314-(Q314+R314+S314),2)</f>
        <v>-0</v>
      </c>
    </row>
    <row r="315" customFormat="false" ht="15" hidden="false" customHeight="true" outlineLevel="0" collapsed="false">
      <c r="A315" s="7" t="s">
        <v>44</v>
      </c>
      <c r="B315" s="7" t="s">
        <v>73</v>
      </c>
      <c r="C315" s="7" t="s">
        <v>67</v>
      </c>
      <c r="D315" s="8" t="n">
        <v>151952.38</v>
      </c>
      <c r="E315" s="9" t="n">
        <v>0.12</v>
      </c>
      <c r="F315" s="9" t="n">
        <v>0.58</v>
      </c>
      <c r="G315" s="10" t="n">
        <f aca="false">D315*(1-E315)</f>
        <v>133718.0944</v>
      </c>
      <c r="H315" s="10" t="n">
        <f aca="false">G315*F315</f>
        <v>77556.494752</v>
      </c>
      <c r="I315" s="10" t="n">
        <f aca="false">G315-H315</f>
        <v>56161.599648</v>
      </c>
      <c r="J315" s="8" t="n">
        <v>153487.17</v>
      </c>
      <c r="K315" s="9" t="n">
        <v>0.1099</v>
      </c>
      <c r="L315" s="9" t="n">
        <v>0.569</v>
      </c>
      <c r="M315" s="10" t="n">
        <f aca="false">J315*(1-K315)</f>
        <v>136618.930017</v>
      </c>
      <c r="N315" s="10" t="n">
        <f aca="false">M315*L315</f>
        <v>77736.171179673</v>
      </c>
      <c r="O315" s="10" t="n">
        <f aca="false">M315-N315</f>
        <v>58882.758837327</v>
      </c>
      <c r="P315" s="10" t="n">
        <f aca="false">O315-I315</f>
        <v>2721.15918932701</v>
      </c>
      <c r="Q315" s="10" t="n">
        <f aca="false">(J315-D315)*(1-E315)*(1-F315)</f>
        <v>567.258384000003</v>
      </c>
      <c r="R315" s="10" t="n">
        <f aca="false">J315*(E315-K315)*(1-F315)</f>
        <v>651.09257514</v>
      </c>
      <c r="S315" s="10" t="n">
        <f aca="false">M315*(F315-L315)</f>
        <v>1502.808230187</v>
      </c>
      <c r="T315" s="10" t="n">
        <f aca="false">ROUND(P315-(Q315+R315+S315),2)</f>
        <v>0</v>
      </c>
    </row>
    <row r="316" customFormat="false" ht="15" hidden="false" customHeight="true" outlineLevel="0" collapsed="false">
      <c r="A316" s="7" t="s">
        <v>45</v>
      </c>
      <c r="B316" s="7" t="s">
        <v>73</v>
      </c>
      <c r="C316" s="7" t="s">
        <v>67</v>
      </c>
      <c r="D316" s="8" t="n">
        <v>165341.4</v>
      </c>
      <c r="E316" s="9" t="n">
        <v>0.12</v>
      </c>
      <c r="F316" s="9" t="n">
        <v>0.58</v>
      </c>
      <c r="G316" s="10" t="n">
        <f aca="false">D316*(1-E316)</f>
        <v>145500.432</v>
      </c>
      <c r="H316" s="10" t="n">
        <f aca="false">G316*F316</f>
        <v>84390.25056</v>
      </c>
      <c r="I316" s="10" t="n">
        <f aca="false">G316-H316</f>
        <v>61110.18144</v>
      </c>
      <c r="J316" s="8" t="n">
        <v>169810.4</v>
      </c>
      <c r="K316" s="9" t="n">
        <v>0.132</v>
      </c>
      <c r="L316" s="9" t="n">
        <v>0.5807</v>
      </c>
      <c r="M316" s="10" t="n">
        <f aca="false">J316*(1-K316)</f>
        <v>147395.4272</v>
      </c>
      <c r="N316" s="10" t="n">
        <f aca="false">M316*L316</f>
        <v>85592.52457504</v>
      </c>
      <c r="O316" s="10" t="n">
        <f aca="false">M316-N316</f>
        <v>61802.90262496</v>
      </c>
      <c r="P316" s="10" t="n">
        <f aca="false">O316-I316</f>
        <v>692.721184959999</v>
      </c>
      <c r="Q316" s="10" t="n">
        <f aca="false">(J316-D316)*(1-E316)*(1-F316)</f>
        <v>1651.7424</v>
      </c>
      <c r="R316" s="10" t="n">
        <f aca="false">J316*(E316-K316)*(1-F316)</f>
        <v>-855.844416000001</v>
      </c>
      <c r="S316" s="10" t="n">
        <f aca="false">M316*(F316-L316)</f>
        <v>-103.176799040005</v>
      </c>
      <c r="T316" s="10" t="n">
        <f aca="false">ROUND(P316-(Q316+R316+S316),2)</f>
        <v>0</v>
      </c>
    </row>
    <row r="317" customFormat="false" ht="15" hidden="false" customHeight="true" outlineLevel="0" collapsed="false">
      <c r="A317" s="7" t="s">
        <v>46</v>
      </c>
      <c r="B317" s="7" t="s">
        <v>73</v>
      </c>
      <c r="C317" s="7" t="s">
        <v>67</v>
      </c>
      <c r="D317" s="8" t="n">
        <v>171905.72</v>
      </c>
      <c r="E317" s="9" t="n">
        <v>0.12</v>
      </c>
      <c r="F317" s="9" t="n">
        <v>0.58</v>
      </c>
      <c r="G317" s="10" t="n">
        <f aca="false">D317*(1-E317)</f>
        <v>151277.0336</v>
      </c>
      <c r="H317" s="10" t="n">
        <f aca="false">G317*F317</f>
        <v>87740.679488</v>
      </c>
      <c r="I317" s="10" t="n">
        <f aca="false">G317-H317</f>
        <v>63536.354112</v>
      </c>
      <c r="J317" s="8" t="n">
        <v>178859.8</v>
      </c>
      <c r="K317" s="9" t="n">
        <v>0.1244</v>
      </c>
      <c r="L317" s="9" t="n">
        <v>0.585</v>
      </c>
      <c r="M317" s="10" t="n">
        <f aca="false">J317*(1-K317)</f>
        <v>156609.64088</v>
      </c>
      <c r="N317" s="10" t="n">
        <f aca="false">M317*L317</f>
        <v>91616.6399148</v>
      </c>
      <c r="O317" s="10" t="n">
        <f aca="false">M317-N317</f>
        <v>64993.0009652</v>
      </c>
      <c r="P317" s="10" t="n">
        <f aca="false">O317-I317</f>
        <v>1456.6468532</v>
      </c>
      <c r="Q317" s="10" t="n">
        <f aca="false">(J317-D317)*(1-E317)*(1-F317)</f>
        <v>2570.227968</v>
      </c>
      <c r="R317" s="10" t="n">
        <f aca="false">J317*(E317-K317)*(1-F317)</f>
        <v>-330.5329104</v>
      </c>
      <c r="S317" s="10" t="n">
        <f aca="false">M317*(F317-L317)</f>
        <v>-783.048204400001</v>
      </c>
      <c r="T317" s="10" t="n">
        <f aca="false">ROUND(P317-(Q317+R317+S317),2)</f>
        <v>0</v>
      </c>
    </row>
    <row r="318" customFormat="false" ht="15" hidden="false" customHeight="true" outlineLevel="0" collapsed="false">
      <c r="A318" s="7" t="s">
        <v>47</v>
      </c>
      <c r="B318" s="7" t="s">
        <v>73</v>
      </c>
      <c r="C318" s="7" t="s">
        <v>67</v>
      </c>
      <c r="D318" s="8" t="n">
        <v>176784.43</v>
      </c>
      <c r="E318" s="9" t="n">
        <v>0.12</v>
      </c>
      <c r="F318" s="9" t="n">
        <v>0.58</v>
      </c>
      <c r="G318" s="10" t="n">
        <f aca="false">D318*(1-E318)</f>
        <v>155570.2984</v>
      </c>
      <c r="H318" s="10" t="n">
        <f aca="false">G318*F318</f>
        <v>90230.773072</v>
      </c>
      <c r="I318" s="10" t="n">
        <f aca="false">G318-H318</f>
        <v>65339.525328</v>
      </c>
      <c r="J318" s="8" t="n">
        <v>194303.64</v>
      </c>
      <c r="K318" s="9" t="n">
        <v>0.1266</v>
      </c>
      <c r="L318" s="9" t="n">
        <v>0.5973</v>
      </c>
      <c r="M318" s="10" t="n">
        <f aca="false">J318*(1-K318)</f>
        <v>169704.799176</v>
      </c>
      <c r="N318" s="10" t="n">
        <f aca="false">M318*L318</f>
        <v>101364.676547825</v>
      </c>
      <c r="O318" s="10" t="n">
        <f aca="false">M318-N318</f>
        <v>68340.1226281752</v>
      </c>
      <c r="P318" s="10" t="n">
        <f aca="false">O318-I318</f>
        <v>3000.59730017518</v>
      </c>
      <c r="Q318" s="10" t="n">
        <f aca="false">(J318-D318)*(1-E318)*(1-F318)</f>
        <v>6475.10001600001</v>
      </c>
      <c r="R318" s="10" t="n">
        <f aca="false">J318*(E318-K318)*(1-F318)</f>
        <v>-538.60969008</v>
      </c>
      <c r="S318" s="10" t="n">
        <f aca="false">M318*(F318-L318)</f>
        <v>-2935.89302574482</v>
      </c>
      <c r="T318" s="10" t="n">
        <f aca="false">ROUND(P318-(Q318+R318+S318),2)</f>
        <v>0</v>
      </c>
    </row>
    <row r="319" customFormat="false" ht="15" hidden="false" customHeight="true" outlineLevel="0" collapsed="false">
      <c r="A319" s="7" t="s">
        <v>48</v>
      </c>
      <c r="B319" s="7" t="s">
        <v>73</v>
      </c>
      <c r="C319" s="7" t="s">
        <v>67</v>
      </c>
      <c r="D319" s="8" t="n">
        <v>181717.94</v>
      </c>
      <c r="E319" s="9" t="n">
        <v>0.12</v>
      </c>
      <c r="F319" s="9" t="n">
        <v>0.58</v>
      </c>
      <c r="G319" s="10" t="n">
        <f aca="false">D319*(1-E319)</f>
        <v>159911.7872</v>
      </c>
      <c r="H319" s="10" t="n">
        <f aca="false">G319*F319</f>
        <v>92748.836576</v>
      </c>
      <c r="I319" s="10" t="n">
        <f aca="false">G319-H319</f>
        <v>67162.950624</v>
      </c>
      <c r="J319" s="8" t="n">
        <v>189392.85</v>
      </c>
      <c r="K319" s="9" t="n">
        <v>0.1266</v>
      </c>
      <c r="L319" s="9" t="n">
        <v>0.5858</v>
      </c>
      <c r="M319" s="10" t="n">
        <f aca="false">J319*(1-K319)</f>
        <v>165415.71519</v>
      </c>
      <c r="N319" s="10" t="n">
        <f aca="false">M319*L319</f>
        <v>96900.525958302</v>
      </c>
      <c r="O319" s="10" t="n">
        <f aca="false">M319-N319</f>
        <v>68515.189231698</v>
      </c>
      <c r="P319" s="10" t="n">
        <f aca="false">O319-I319</f>
        <v>1352.23860769799</v>
      </c>
      <c r="Q319" s="10" t="n">
        <f aca="false">(J319-D319)*(1-E319)*(1-F319)</f>
        <v>2836.646736</v>
      </c>
      <c r="R319" s="10" t="n">
        <f aca="false">J319*(E319-K319)*(1-F319)</f>
        <v>-524.9969802</v>
      </c>
      <c r="S319" s="10" t="n">
        <f aca="false">M319*(F319-L319)</f>
        <v>-959.411148102004</v>
      </c>
      <c r="T319" s="10" t="n">
        <f aca="false">ROUND(P319-(Q319+R319+S319),2)</f>
        <v>-0</v>
      </c>
    </row>
    <row r="320" customFormat="false" ht="15" hidden="false" customHeight="true" outlineLevel="0" collapsed="false">
      <c r="A320" s="7" t="s">
        <v>49</v>
      </c>
      <c r="B320" s="7" t="s">
        <v>73</v>
      </c>
      <c r="C320" s="7" t="s">
        <v>67</v>
      </c>
      <c r="D320" s="8" t="n">
        <v>179525.27</v>
      </c>
      <c r="E320" s="9" t="n">
        <v>0.12</v>
      </c>
      <c r="F320" s="9" t="n">
        <v>0.58</v>
      </c>
      <c r="G320" s="10" t="n">
        <f aca="false">D320*(1-E320)</f>
        <v>157982.2376</v>
      </c>
      <c r="H320" s="10" t="n">
        <f aca="false">G320*F320</f>
        <v>91629.697808</v>
      </c>
      <c r="I320" s="10" t="n">
        <f aca="false">G320-H320</f>
        <v>66352.539792</v>
      </c>
      <c r="J320" s="8" t="n">
        <v>192089.48</v>
      </c>
      <c r="K320" s="9" t="n">
        <v>0.1271</v>
      </c>
      <c r="L320" s="9" t="n">
        <v>0.5856</v>
      </c>
      <c r="M320" s="10" t="n">
        <f aca="false">J320*(1-K320)</f>
        <v>167674.907092</v>
      </c>
      <c r="N320" s="10" t="n">
        <f aca="false">M320*L320</f>
        <v>98190.4255930752</v>
      </c>
      <c r="O320" s="10" t="n">
        <f aca="false">M320-N320</f>
        <v>69484.4814989248</v>
      </c>
      <c r="P320" s="10" t="n">
        <f aca="false">O320-I320</f>
        <v>3131.94170692479</v>
      </c>
      <c r="Q320" s="10" t="n">
        <f aca="false">(J320-D320)*(1-E320)*(1-F320)</f>
        <v>4643.73201600001</v>
      </c>
      <c r="R320" s="10" t="n">
        <f aca="false">J320*(E320-K320)*(1-F320)</f>
        <v>-572.81082936</v>
      </c>
      <c r="S320" s="10" t="n">
        <f aca="false">M320*(F320-L320)</f>
        <v>-938.979479715208</v>
      </c>
      <c r="T320" s="10" t="n">
        <f aca="false">ROUND(P320-(Q320+R320+S320),2)</f>
        <v>-0</v>
      </c>
    </row>
    <row r="321" customFormat="false" ht="15" hidden="false" customHeight="true" outlineLevel="0" collapsed="false">
      <c r="A321" s="7" t="s">
        <v>50</v>
      </c>
      <c r="B321" s="7" t="s">
        <v>73</v>
      </c>
      <c r="C321" s="7" t="s">
        <v>67</v>
      </c>
      <c r="D321" s="8" t="n">
        <v>186322.56</v>
      </c>
      <c r="E321" s="9" t="n">
        <v>0.12</v>
      </c>
      <c r="F321" s="9" t="n">
        <v>0.58</v>
      </c>
      <c r="G321" s="10" t="n">
        <f aca="false">D321*(1-E321)</f>
        <v>163963.8528</v>
      </c>
      <c r="H321" s="10" t="n">
        <f aca="false">G321*F321</f>
        <v>95099.034624</v>
      </c>
      <c r="I321" s="10" t="n">
        <f aca="false">G321-H321</f>
        <v>68864.818176</v>
      </c>
      <c r="J321" s="8" t="n">
        <v>186288.2</v>
      </c>
      <c r="K321" s="9" t="n">
        <v>0.1117</v>
      </c>
      <c r="L321" s="9" t="n">
        <v>0.5841</v>
      </c>
      <c r="M321" s="10" t="n">
        <f aca="false">J321*(1-K321)</f>
        <v>165479.80806</v>
      </c>
      <c r="N321" s="10" t="n">
        <f aca="false">M321*L321</f>
        <v>96656.755887846</v>
      </c>
      <c r="O321" s="10" t="n">
        <f aca="false">M321-N321</f>
        <v>68823.052172154</v>
      </c>
      <c r="P321" s="10" t="n">
        <f aca="false">O321-I321</f>
        <v>-41.7660038459871</v>
      </c>
      <c r="Q321" s="10" t="n">
        <f aca="false">(J321-D321)*(1-E321)*(1-F321)</f>
        <v>-12.6994559999948</v>
      </c>
      <c r="R321" s="10" t="n">
        <f aca="false">J321*(E321-K321)*(1-F321)</f>
        <v>649.4006652</v>
      </c>
      <c r="S321" s="10" t="n">
        <f aca="false">M321*(F321-L321)</f>
        <v>-678.467213045999</v>
      </c>
      <c r="T321" s="10" t="n">
        <f aca="false">ROUND(P321-(Q321+R321+S321),2)</f>
        <v>0</v>
      </c>
    </row>
    <row r="322" customFormat="false" ht="15" hidden="false" customHeight="true" outlineLevel="0" collapsed="false">
      <c r="A322" s="7" t="s">
        <v>51</v>
      </c>
      <c r="B322" s="7" t="s">
        <v>73</v>
      </c>
      <c r="C322" s="7" t="s">
        <v>67</v>
      </c>
      <c r="D322" s="8" t="n">
        <v>191379.42</v>
      </c>
      <c r="E322" s="9" t="n">
        <v>0.12</v>
      </c>
      <c r="F322" s="9" t="n">
        <v>0.58</v>
      </c>
      <c r="G322" s="10" t="n">
        <f aca="false">D322*(1-E322)</f>
        <v>168413.8896</v>
      </c>
      <c r="H322" s="10" t="n">
        <f aca="false">G322*F322</f>
        <v>97680.055968</v>
      </c>
      <c r="I322" s="10" t="n">
        <f aca="false">G322-H322</f>
        <v>70733.833632</v>
      </c>
      <c r="J322" s="8" t="n">
        <v>200077.54</v>
      </c>
      <c r="K322" s="9" t="n">
        <v>0.1148</v>
      </c>
      <c r="L322" s="9" t="n">
        <v>0.581</v>
      </c>
      <c r="M322" s="10" t="n">
        <f aca="false">J322*(1-K322)</f>
        <v>177108.638408</v>
      </c>
      <c r="N322" s="10" t="n">
        <f aca="false">M322*L322</f>
        <v>102900.118915048</v>
      </c>
      <c r="O322" s="10" t="n">
        <f aca="false">M322-N322</f>
        <v>74208.519492952</v>
      </c>
      <c r="P322" s="10" t="n">
        <f aca="false">O322-I322</f>
        <v>3474.68586095198</v>
      </c>
      <c r="Q322" s="10" t="n">
        <f aca="false">(J322-D322)*(1-E322)*(1-F322)</f>
        <v>3214.825152</v>
      </c>
      <c r="R322" s="10" t="n">
        <f aca="false">J322*(E322-K322)*(1-F322)</f>
        <v>436.96934736</v>
      </c>
      <c r="S322" s="10" t="n">
        <f aca="false">M322*(F322-L322)</f>
        <v>-177.108638408</v>
      </c>
      <c r="T322" s="10" t="n">
        <f aca="false">ROUND(P322-(Q322+R322+S322),2)</f>
        <v>-0</v>
      </c>
    </row>
    <row r="323" customFormat="false" ht="15" hidden="false" customHeight="true" outlineLevel="0" collapsed="false">
      <c r="A323" s="7" t="s">
        <v>52</v>
      </c>
      <c r="B323" s="7" t="s">
        <v>73</v>
      </c>
      <c r="C323" s="7" t="s">
        <v>67</v>
      </c>
      <c r="D323" s="8" t="n">
        <v>202000.19</v>
      </c>
      <c r="E323" s="9" t="n">
        <v>0.12</v>
      </c>
      <c r="F323" s="9" t="n">
        <v>0.58</v>
      </c>
      <c r="G323" s="10" t="n">
        <f aca="false">D323*(1-E323)</f>
        <v>177760.1672</v>
      </c>
      <c r="H323" s="10" t="n">
        <f aca="false">G323*F323</f>
        <v>103100.896976</v>
      </c>
      <c r="I323" s="10" t="n">
        <f aca="false">G323-H323</f>
        <v>74659.270224</v>
      </c>
      <c r="J323" s="8" t="n">
        <v>205693.73</v>
      </c>
      <c r="K323" s="9" t="n">
        <v>0.1106</v>
      </c>
      <c r="L323" s="9" t="n">
        <v>0.5711</v>
      </c>
      <c r="M323" s="10" t="n">
        <f aca="false">J323*(1-K323)</f>
        <v>182944.003462</v>
      </c>
      <c r="N323" s="10" t="n">
        <f aca="false">M323*L323</f>
        <v>104479.320377148</v>
      </c>
      <c r="O323" s="10" t="n">
        <f aca="false">M323-N323</f>
        <v>78464.6830848518</v>
      </c>
      <c r="P323" s="10" t="n">
        <f aca="false">O323-I323</f>
        <v>3805.41286085178</v>
      </c>
      <c r="Q323" s="10" t="n">
        <f aca="false">(J323-D323)*(1-E323)*(1-F323)</f>
        <v>1365.132384</v>
      </c>
      <c r="R323" s="10" t="n">
        <f aca="false">J323*(E323-K323)*(1-F323)</f>
        <v>812.07884604</v>
      </c>
      <c r="S323" s="10" t="n">
        <f aca="false">M323*(F323-L323)</f>
        <v>1628.20163081178</v>
      </c>
      <c r="T323" s="10" t="n">
        <f aca="false">ROUND(P323-(Q323+R323+S323),2)</f>
        <v>0</v>
      </c>
    </row>
    <row r="324" customFormat="false" ht="15" hidden="false" customHeight="true" outlineLevel="0" collapsed="false">
      <c r="A324" s="7" t="s">
        <v>53</v>
      </c>
      <c r="B324" s="7" t="s">
        <v>73</v>
      </c>
      <c r="C324" s="7" t="s">
        <v>67</v>
      </c>
      <c r="D324" s="8" t="n">
        <v>240509.04</v>
      </c>
      <c r="E324" s="9" t="n">
        <v>0.12</v>
      </c>
      <c r="F324" s="9" t="n">
        <v>0.58</v>
      </c>
      <c r="G324" s="10" t="n">
        <f aca="false">D324*(1-E324)</f>
        <v>211647.9552</v>
      </c>
      <c r="H324" s="10" t="n">
        <f aca="false">G324*F324</f>
        <v>122755.814016</v>
      </c>
      <c r="I324" s="10" t="n">
        <f aca="false">G324-H324</f>
        <v>88892.141184</v>
      </c>
      <c r="J324" s="8" t="n">
        <v>234038.04</v>
      </c>
      <c r="K324" s="9" t="n">
        <v>0.1311</v>
      </c>
      <c r="L324" s="9" t="n">
        <v>0.5841</v>
      </c>
      <c r="M324" s="10" t="n">
        <f aca="false">J324*(1-K324)</f>
        <v>203355.652956</v>
      </c>
      <c r="N324" s="10" t="n">
        <f aca="false">M324*L324</f>
        <v>118780.0368916</v>
      </c>
      <c r="O324" s="10" t="n">
        <f aca="false">M324-N324</f>
        <v>84575.6160644004</v>
      </c>
      <c r="P324" s="10" t="n">
        <f aca="false">O324-I324</f>
        <v>-4316.5251195996</v>
      </c>
      <c r="Q324" s="10" t="n">
        <f aca="false">(J324-D324)*(1-E324)*(1-F324)</f>
        <v>-2391.6816</v>
      </c>
      <c r="R324" s="10" t="n">
        <f aca="false">J324*(E324-K324)*(1-F324)</f>
        <v>-1091.08534248</v>
      </c>
      <c r="S324" s="10" t="n">
        <f aca="false">M324*(F324-L324)</f>
        <v>-833.758177119599</v>
      </c>
      <c r="T324" s="10" t="n">
        <f aca="false">ROUND(P324-(Q324+R324+S324),2)</f>
        <v>0</v>
      </c>
    </row>
    <row r="325" customFormat="false" ht="15" hidden="false" customHeight="true" outlineLevel="0" collapsed="false">
      <c r="A325" s="7" t="s">
        <v>54</v>
      </c>
      <c r="B325" s="7" t="s">
        <v>73</v>
      </c>
      <c r="C325" s="7" t="s">
        <v>67</v>
      </c>
      <c r="D325" s="8" t="n">
        <v>227380.4</v>
      </c>
      <c r="E325" s="9" t="n">
        <v>0.12</v>
      </c>
      <c r="F325" s="9" t="n">
        <v>0.58</v>
      </c>
      <c r="G325" s="10" t="n">
        <f aca="false">D325*(1-E325)</f>
        <v>200094.752</v>
      </c>
      <c r="H325" s="10" t="n">
        <f aca="false">G325*F325</f>
        <v>116054.95616</v>
      </c>
      <c r="I325" s="10" t="n">
        <f aca="false">G325-H325</f>
        <v>84039.79584</v>
      </c>
      <c r="J325" s="8" t="n">
        <v>225641.38</v>
      </c>
      <c r="K325" s="9" t="n">
        <v>0.1107</v>
      </c>
      <c r="L325" s="9" t="n">
        <v>0.5859</v>
      </c>
      <c r="M325" s="10" t="n">
        <f aca="false">J325*(1-K325)</f>
        <v>200662.879234</v>
      </c>
      <c r="N325" s="10" t="n">
        <f aca="false">M325*L325</f>
        <v>117568.380943201</v>
      </c>
      <c r="O325" s="10" t="n">
        <f aca="false">M325-N325</f>
        <v>83094.4982907994</v>
      </c>
      <c r="P325" s="10" t="n">
        <f aca="false">O325-I325</f>
        <v>-945.297549200608</v>
      </c>
      <c r="Q325" s="10" t="n">
        <f aca="false">(J325-D325)*(1-E325)*(1-F325)</f>
        <v>-642.741791999996</v>
      </c>
      <c r="R325" s="10" t="n">
        <f aca="false">J325*(E325-K325)*(1-F325)</f>
        <v>881.355230279999</v>
      </c>
      <c r="S325" s="10" t="n">
        <f aca="false">M325*(F325-L325)</f>
        <v>-1183.9109874806</v>
      </c>
      <c r="T325" s="10" t="n">
        <f aca="false">ROUND(P325-(Q325+R325+S325),2)</f>
        <v>-0</v>
      </c>
    </row>
    <row r="326" customFormat="false" ht="15" hidden="false" customHeight="true" outlineLevel="0" collapsed="false">
      <c r="A326" s="7" t="s">
        <v>55</v>
      </c>
      <c r="B326" s="7" t="s">
        <v>73</v>
      </c>
      <c r="C326" s="7" t="s">
        <v>67</v>
      </c>
      <c r="D326" s="8" t="n">
        <v>168973.02</v>
      </c>
      <c r="E326" s="9" t="n">
        <v>0.12</v>
      </c>
      <c r="F326" s="9" t="n">
        <v>0.58</v>
      </c>
      <c r="G326" s="10" t="n">
        <f aca="false">D326*(1-E326)</f>
        <v>148696.2576</v>
      </c>
      <c r="H326" s="10" t="n">
        <f aca="false">G326*F326</f>
        <v>86243.829408</v>
      </c>
      <c r="I326" s="10" t="n">
        <f aca="false">G326-H326</f>
        <v>62452.428192</v>
      </c>
      <c r="J326" s="8" t="n">
        <v>166294.55</v>
      </c>
      <c r="K326" s="9" t="n">
        <v>0.1155</v>
      </c>
      <c r="L326" s="9" t="n">
        <v>0.5883</v>
      </c>
      <c r="M326" s="10" t="n">
        <f aca="false">J326*(1-K326)</f>
        <v>147087.529475</v>
      </c>
      <c r="N326" s="10" t="n">
        <f aca="false">M326*L326</f>
        <v>86531.5935901425</v>
      </c>
      <c r="O326" s="10" t="n">
        <f aca="false">M326-N326</f>
        <v>60555.9358848575</v>
      </c>
      <c r="P326" s="10" t="n">
        <f aca="false">O326-I326</f>
        <v>-1896.4923071425</v>
      </c>
      <c r="Q326" s="10" t="n">
        <f aca="false">(J326-D326)*(1-E326)*(1-F326)</f>
        <v>-989.962512000001</v>
      </c>
      <c r="R326" s="10" t="n">
        <f aca="false">J326*(E326-K326)*(1-F326)</f>
        <v>314.296699499999</v>
      </c>
      <c r="S326" s="10" t="n">
        <f aca="false">M326*(F326-L326)</f>
        <v>-1220.82649464251</v>
      </c>
      <c r="T326" s="10" t="n">
        <f aca="false">ROUND(P326-(Q326+R326+S326),2)</f>
        <v>0</v>
      </c>
    </row>
    <row r="327" customFormat="false" ht="15" hidden="false" customHeight="true" outlineLevel="0" collapsed="false">
      <c r="A327" s="7" t="s">
        <v>56</v>
      </c>
      <c r="B327" s="7" t="s">
        <v>73</v>
      </c>
      <c r="C327" s="7" t="s">
        <v>67</v>
      </c>
      <c r="D327" s="8" t="n">
        <v>166424.04</v>
      </c>
      <c r="E327" s="9" t="n">
        <v>0.12</v>
      </c>
      <c r="F327" s="9" t="n">
        <v>0.58</v>
      </c>
      <c r="G327" s="10" t="n">
        <f aca="false">D327*(1-E327)</f>
        <v>146453.1552</v>
      </c>
      <c r="H327" s="10" t="n">
        <f aca="false">G327*F327</f>
        <v>84942.830016</v>
      </c>
      <c r="I327" s="10" t="n">
        <f aca="false">G327-H327</f>
        <v>61510.325184</v>
      </c>
      <c r="J327" s="8" t="n">
        <v>161332.99</v>
      </c>
      <c r="K327" s="9" t="n">
        <v>0.1263</v>
      </c>
      <c r="L327" s="9" t="n">
        <v>0.5619</v>
      </c>
      <c r="M327" s="10" t="n">
        <f aca="false">J327*(1-K327)</f>
        <v>140956.633363</v>
      </c>
      <c r="N327" s="10" t="n">
        <f aca="false">M327*L327</f>
        <v>79203.5322866697</v>
      </c>
      <c r="O327" s="10" t="n">
        <f aca="false">M327-N327</f>
        <v>61753.1010763303</v>
      </c>
      <c r="P327" s="10" t="n">
        <f aca="false">O327-I327</f>
        <v>242.77589233029</v>
      </c>
      <c r="Q327" s="10" t="n">
        <f aca="false">(J327-D327)*(1-E327)*(1-F327)</f>
        <v>-1881.65208000001</v>
      </c>
      <c r="R327" s="10" t="n">
        <f aca="false">J327*(E327-K327)*(1-F327)</f>
        <v>-426.88709154</v>
      </c>
      <c r="S327" s="10" t="n">
        <f aca="false">M327*(F327-L327)</f>
        <v>2551.3150638703</v>
      </c>
      <c r="T327" s="10" t="n">
        <f aca="false">ROUND(P327-(Q327+R327+S327),2)</f>
        <v>-0</v>
      </c>
    </row>
    <row r="328" customFormat="false" ht="15" hidden="false" customHeight="true" outlineLevel="0" collapsed="false">
      <c r="A328" s="7" t="s">
        <v>57</v>
      </c>
      <c r="B328" s="7" t="s">
        <v>73</v>
      </c>
      <c r="C328" s="7" t="s">
        <v>67</v>
      </c>
      <c r="D328" s="8" t="n">
        <v>180964.21</v>
      </c>
      <c r="E328" s="9" t="n">
        <v>0.12</v>
      </c>
      <c r="F328" s="9" t="n">
        <v>0.58</v>
      </c>
      <c r="G328" s="10" t="n">
        <f aca="false">D328*(1-E328)</f>
        <v>159248.5048</v>
      </c>
      <c r="H328" s="10" t="n">
        <f aca="false">G328*F328</f>
        <v>92364.132784</v>
      </c>
      <c r="I328" s="10" t="n">
        <f aca="false">G328-H328</f>
        <v>66884.372016</v>
      </c>
      <c r="J328" s="8" t="n">
        <v>176141.49</v>
      </c>
      <c r="K328" s="9" t="n">
        <v>0.1263</v>
      </c>
      <c r="L328" s="9" t="n">
        <v>0.5806</v>
      </c>
      <c r="M328" s="10" t="n">
        <f aca="false">J328*(1-K328)</f>
        <v>153894.819813</v>
      </c>
      <c r="N328" s="10" t="n">
        <f aca="false">M328*L328</f>
        <v>89351.3323834278</v>
      </c>
      <c r="O328" s="10" t="n">
        <f aca="false">M328-N328</f>
        <v>64543.4874295722</v>
      </c>
      <c r="P328" s="10" t="n">
        <f aca="false">O328-I328</f>
        <v>-2340.88458642781</v>
      </c>
      <c r="Q328" s="10" t="n">
        <f aca="false">(J328-D328)*(1-E328)*(1-F328)</f>
        <v>-1782.477312</v>
      </c>
      <c r="R328" s="10" t="n">
        <f aca="false">J328*(E328-K328)*(1-F328)</f>
        <v>-466.07038254</v>
      </c>
      <c r="S328" s="10" t="n">
        <f aca="false">M328*(F328-L328)</f>
        <v>-92.3368918878069</v>
      </c>
      <c r="T328" s="10" t="n">
        <f aca="false">ROUND(P328-(Q328+R328+S328),2)</f>
        <v>0</v>
      </c>
    </row>
    <row r="329" customFormat="false" ht="15" hidden="false" customHeight="true" outlineLevel="0" collapsed="false">
      <c r="A329" s="7" t="s">
        <v>58</v>
      </c>
      <c r="B329" s="7" t="s">
        <v>73</v>
      </c>
      <c r="C329" s="7" t="s">
        <v>67</v>
      </c>
      <c r="D329" s="8" t="n">
        <v>188021.89</v>
      </c>
      <c r="E329" s="9" t="n">
        <v>0.12</v>
      </c>
      <c r="F329" s="9" t="n">
        <v>0.58</v>
      </c>
      <c r="G329" s="10" t="n">
        <f aca="false">D329*(1-E329)</f>
        <v>165459.2632</v>
      </c>
      <c r="H329" s="10" t="n">
        <f aca="false">G329*F329</f>
        <v>95966.372656</v>
      </c>
      <c r="I329" s="10" t="n">
        <f aca="false">G329-H329</f>
        <v>69492.890544</v>
      </c>
      <c r="J329" s="8" t="n">
        <v>206581.09</v>
      </c>
      <c r="K329" s="9" t="n">
        <v>0.1174</v>
      </c>
      <c r="L329" s="9" t="n">
        <v>0.5772</v>
      </c>
      <c r="M329" s="10" t="n">
        <f aca="false">J329*(1-K329)</f>
        <v>182328.470034</v>
      </c>
      <c r="N329" s="10" t="n">
        <f aca="false">M329*L329</f>
        <v>105239.992903625</v>
      </c>
      <c r="O329" s="10" t="n">
        <f aca="false">M329-N329</f>
        <v>77088.4771303752</v>
      </c>
      <c r="P329" s="10" t="n">
        <f aca="false">O329-I329</f>
        <v>7595.58658637518</v>
      </c>
      <c r="Q329" s="10" t="n">
        <f aca="false">(J329-D329)*(1-E329)*(1-F329)</f>
        <v>6859.48031999999</v>
      </c>
      <c r="R329" s="10" t="n">
        <f aca="false">J329*(E329-K329)*(1-F329)</f>
        <v>225.586550279999</v>
      </c>
      <c r="S329" s="10" t="n">
        <f aca="false">M329*(F329-L329)</f>
        <v>510.519716095184</v>
      </c>
      <c r="T329" s="10" t="n">
        <f aca="false">ROUND(P329-(Q329+R329+S329),2)</f>
        <v>0</v>
      </c>
    </row>
    <row r="330" customFormat="false" ht="15" hidden="false" customHeight="true" outlineLevel="0" collapsed="false">
      <c r="A330" s="7" t="s">
        <v>59</v>
      </c>
      <c r="B330" s="7" t="s">
        <v>73</v>
      </c>
      <c r="C330" s="7" t="s">
        <v>67</v>
      </c>
      <c r="D330" s="8" t="n">
        <v>193229.49</v>
      </c>
      <c r="E330" s="9" t="n">
        <v>0.12</v>
      </c>
      <c r="F330" s="9" t="n">
        <v>0.58</v>
      </c>
      <c r="G330" s="10" t="n">
        <f aca="false">D330*(1-E330)</f>
        <v>170041.9512</v>
      </c>
      <c r="H330" s="10" t="n">
        <f aca="false">G330*F330</f>
        <v>98624.331696</v>
      </c>
      <c r="I330" s="10" t="n">
        <f aca="false">G330-H330</f>
        <v>71417.619504</v>
      </c>
      <c r="J330" s="8" t="n">
        <v>184218.71</v>
      </c>
      <c r="K330" s="9" t="n">
        <v>0.1238</v>
      </c>
      <c r="L330" s="9" t="n">
        <v>0.5883</v>
      </c>
      <c r="M330" s="10" t="n">
        <f aca="false">J330*(1-K330)</f>
        <v>161412.433702</v>
      </c>
      <c r="N330" s="10" t="n">
        <f aca="false">M330*L330</f>
        <v>94958.9347468866</v>
      </c>
      <c r="O330" s="10" t="n">
        <f aca="false">M330-N330</f>
        <v>66453.4989551134</v>
      </c>
      <c r="P330" s="10" t="n">
        <f aca="false">O330-I330</f>
        <v>-4964.12054888661</v>
      </c>
      <c r="Q330" s="10" t="n">
        <f aca="false">(J330-D330)*(1-E330)*(1-F330)</f>
        <v>-3330.384288</v>
      </c>
      <c r="R330" s="10" t="n">
        <f aca="false">J330*(E330-K330)*(1-F330)</f>
        <v>-294.01306116</v>
      </c>
      <c r="S330" s="10" t="n">
        <f aca="false">M330*(F330-L330)</f>
        <v>-1339.72319972661</v>
      </c>
      <c r="T330" s="10" t="n">
        <f aca="false">ROUND(P330-(Q330+R330+S330),2)</f>
        <v>0</v>
      </c>
    </row>
    <row r="331" customFormat="false" ht="15" hidden="false" customHeight="true" outlineLevel="0" collapsed="false">
      <c r="A331" s="7" t="s">
        <v>60</v>
      </c>
      <c r="B331" s="7" t="s">
        <v>73</v>
      </c>
      <c r="C331" s="7" t="s">
        <v>67</v>
      </c>
      <c r="D331" s="8" t="n">
        <v>198491.91</v>
      </c>
      <c r="E331" s="9" t="n">
        <v>0.12</v>
      </c>
      <c r="F331" s="9" t="n">
        <v>0.58</v>
      </c>
      <c r="G331" s="10" t="n">
        <f aca="false">D331*(1-E331)</f>
        <v>174672.8808</v>
      </c>
      <c r="H331" s="10" t="n">
        <f aca="false">G331*F331</f>
        <v>101310.270864</v>
      </c>
      <c r="I331" s="10" t="n">
        <f aca="false">G331-H331</f>
        <v>73362.609936</v>
      </c>
      <c r="J331" s="8" t="n">
        <v>197026.34</v>
      </c>
      <c r="K331" s="9" t="n">
        <v>0.1271</v>
      </c>
      <c r="L331" s="9" t="n">
        <v>0.5933</v>
      </c>
      <c r="M331" s="10" t="n">
        <f aca="false">J331*(1-K331)</f>
        <v>171984.292186</v>
      </c>
      <c r="N331" s="10" t="n">
        <f aca="false">M331*L331</f>
        <v>102038.280553954</v>
      </c>
      <c r="O331" s="10" t="n">
        <f aca="false">M331-N331</f>
        <v>69946.0116320462</v>
      </c>
      <c r="P331" s="10" t="n">
        <f aca="false">O331-I331</f>
        <v>-3416.59830395381</v>
      </c>
      <c r="Q331" s="10" t="n">
        <f aca="false">(J331-D331)*(1-E331)*(1-F331)</f>
        <v>-541.674672000003</v>
      </c>
      <c r="R331" s="10" t="n">
        <f aca="false">J331*(E331-K331)*(1-F331)</f>
        <v>-587.53254588</v>
      </c>
      <c r="S331" s="10" t="n">
        <f aca="false">M331*(F331-L331)</f>
        <v>-2287.39108607382</v>
      </c>
      <c r="T331" s="10" t="n">
        <f aca="false">ROUND(P331-(Q331+R331+S331),2)</f>
        <v>0</v>
      </c>
    </row>
    <row r="332" customFormat="false" ht="15" hidden="false" customHeight="true" outlineLevel="0" collapsed="false">
      <c r="A332" s="7" t="s">
        <v>61</v>
      </c>
      <c r="B332" s="7" t="s">
        <v>73</v>
      </c>
      <c r="C332" s="7" t="s">
        <v>67</v>
      </c>
      <c r="D332" s="8" t="n">
        <v>195970.33</v>
      </c>
      <c r="E332" s="9" t="n">
        <v>0.12</v>
      </c>
      <c r="F332" s="9" t="n">
        <v>0.58</v>
      </c>
      <c r="G332" s="10" t="n">
        <f aca="false">D332*(1-E332)</f>
        <v>172453.8904</v>
      </c>
      <c r="H332" s="10" t="n">
        <f aca="false">G332*F332</f>
        <v>100023.256432</v>
      </c>
      <c r="I332" s="10" t="n">
        <f aca="false">G332-H332</f>
        <v>72430.633968</v>
      </c>
      <c r="J332" s="8" t="n">
        <v>172840.91</v>
      </c>
      <c r="K332" s="9" t="n">
        <v>0.1071</v>
      </c>
      <c r="L332" s="9" t="n">
        <v>0.5712</v>
      </c>
      <c r="M332" s="10" t="n">
        <f aca="false">J332*(1-K332)</f>
        <v>154329.648539</v>
      </c>
      <c r="N332" s="10" t="n">
        <f aca="false">M332*L332</f>
        <v>88153.0952454768</v>
      </c>
      <c r="O332" s="10" t="n">
        <f aca="false">M332-N332</f>
        <v>66176.5532935232</v>
      </c>
      <c r="P332" s="10" t="n">
        <f aca="false">O332-I332</f>
        <v>-6254.08067447681</v>
      </c>
      <c r="Q332" s="10" t="n">
        <f aca="false">(J332-D332)*(1-E332)*(1-F332)</f>
        <v>-8548.63363199999</v>
      </c>
      <c r="R332" s="10" t="n">
        <f aca="false">J332*(E332-K332)*(1-F332)</f>
        <v>936.45205038</v>
      </c>
      <c r="S332" s="10" t="n">
        <f aca="false">M332*(F332-L332)</f>
        <v>1358.10090714319</v>
      </c>
      <c r="T332" s="10" t="n">
        <f aca="false">ROUND(P332-(Q332+R332+S332),2)</f>
        <v>0</v>
      </c>
    </row>
    <row r="333" customFormat="false" ht="15" hidden="false" customHeight="true" outlineLevel="0" collapsed="false">
      <c r="A333" s="7" t="s">
        <v>62</v>
      </c>
      <c r="B333" s="7" t="s">
        <v>73</v>
      </c>
      <c r="C333" s="7" t="s">
        <v>67</v>
      </c>
      <c r="D333" s="8" t="n">
        <v>203260.98</v>
      </c>
      <c r="E333" s="9" t="n">
        <v>0.12</v>
      </c>
      <c r="F333" s="9" t="n">
        <v>0.58</v>
      </c>
      <c r="G333" s="10" t="n">
        <f aca="false">D333*(1-E333)</f>
        <v>178869.6624</v>
      </c>
      <c r="H333" s="10" t="n">
        <f aca="false">G333*F333</f>
        <v>103744.404192</v>
      </c>
      <c r="I333" s="10" t="n">
        <f aca="false">G333-H333</f>
        <v>75125.258208</v>
      </c>
      <c r="J333" s="8" t="n">
        <v>195857.79</v>
      </c>
      <c r="K333" s="9" t="n">
        <v>0.1291</v>
      </c>
      <c r="L333" s="9" t="n">
        <v>0.5702</v>
      </c>
      <c r="M333" s="10" t="n">
        <f aca="false">J333*(1-K333)</f>
        <v>170572.549311</v>
      </c>
      <c r="N333" s="10" t="n">
        <f aca="false">M333*L333</f>
        <v>97260.4676171322</v>
      </c>
      <c r="O333" s="10" t="n">
        <f aca="false">M333-N333</f>
        <v>73312.0816938678</v>
      </c>
      <c r="P333" s="10" t="n">
        <f aca="false">O333-I333</f>
        <v>-1813.17651413221</v>
      </c>
      <c r="Q333" s="10" t="n">
        <f aca="false">(J333-D333)*(1-E333)*(1-F333)</f>
        <v>-2736.219024</v>
      </c>
      <c r="R333" s="10" t="n">
        <f aca="false">J333*(E333-K333)*(1-F333)</f>
        <v>-748.56847338</v>
      </c>
      <c r="S333" s="10" t="n">
        <f aca="false">M333*(F333-L333)</f>
        <v>1671.61098324779</v>
      </c>
      <c r="T333" s="10" t="n">
        <f aca="false">ROUND(P333-(Q333+R333+S333),2)</f>
        <v>0</v>
      </c>
    </row>
    <row r="334" customFormat="false" ht="15" hidden="false" customHeight="true" outlineLevel="0" collapsed="false">
      <c r="A334" s="7" t="s">
        <v>63</v>
      </c>
      <c r="B334" s="7" t="s">
        <v>73</v>
      </c>
      <c r="C334" s="7" t="s">
        <v>67</v>
      </c>
      <c r="D334" s="8" t="n">
        <v>208646.73</v>
      </c>
      <c r="E334" s="9" t="n">
        <v>0.12</v>
      </c>
      <c r="F334" s="9" t="n">
        <v>0.58</v>
      </c>
      <c r="G334" s="10" t="n">
        <f aca="false">D334*(1-E334)</f>
        <v>183609.1224</v>
      </c>
      <c r="H334" s="10" t="n">
        <f aca="false">G334*F334</f>
        <v>106493.290992</v>
      </c>
      <c r="I334" s="10" t="n">
        <f aca="false">G334-H334</f>
        <v>77115.831408</v>
      </c>
      <c r="J334" s="8" t="n">
        <v>210721.6</v>
      </c>
      <c r="K334" s="9" t="n">
        <v>0.1336</v>
      </c>
      <c r="L334" s="9" t="n">
        <v>0.5866</v>
      </c>
      <c r="M334" s="10" t="n">
        <f aca="false">J334*(1-K334)</f>
        <v>182569.19424</v>
      </c>
      <c r="N334" s="10" t="n">
        <f aca="false">M334*L334</f>
        <v>107095.089341184</v>
      </c>
      <c r="O334" s="10" t="n">
        <f aca="false">M334-N334</f>
        <v>75474.104898816</v>
      </c>
      <c r="P334" s="10" t="n">
        <f aca="false">O334-I334</f>
        <v>-1641.72650918401</v>
      </c>
      <c r="Q334" s="10" t="n">
        <f aca="false">(J334-D334)*(1-E334)*(1-F334)</f>
        <v>766.871951999998</v>
      </c>
      <c r="R334" s="10" t="n">
        <f aca="false">J334*(E334-K334)*(1-F334)</f>
        <v>-1203.6417792</v>
      </c>
      <c r="S334" s="10" t="n">
        <f aca="false">M334*(F334-L334)</f>
        <v>-1204.95668198401</v>
      </c>
      <c r="T334" s="10" t="n">
        <f aca="false">ROUND(P334-(Q334+R334+S334),2)</f>
        <v>0</v>
      </c>
    </row>
    <row r="335" customFormat="false" ht="15" hidden="false" customHeight="true" outlineLevel="0" collapsed="false">
      <c r="A335" s="7" t="s">
        <v>64</v>
      </c>
      <c r="B335" s="7" t="s">
        <v>73</v>
      </c>
      <c r="C335" s="7" t="s">
        <v>67</v>
      </c>
      <c r="D335" s="8" t="n">
        <v>220089.76</v>
      </c>
      <c r="E335" s="9" t="n">
        <v>0.12</v>
      </c>
      <c r="F335" s="9" t="n">
        <v>0.58</v>
      </c>
      <c r="G335" s="10" t="n">
        <f aca="false">D335*(1-E335)</f>
        <v>193678.9888</v>
      </c>
      <c r="H335" s="10" t="n">
        <f aca="false">G335*F335</f>
        <v>112333.813504</v>
      </c>
      <c r="I335" s="10" t="n">
        <f aca="false">G335-H335</f>
        <v>81345.175296</v>
      </c>
      <c r="J335" s="8" t="n">
        <v>231218.92</v>
      </c>
      <c r="K335" s="9" t="n">
        <v>0.1411</v>
      </c>
      <c r="L335" s="9" t="n">
        <v>0.5863</v>
      </c>
      <c r="M335" s="10" t="n">
        <f aca="false">J335*(1-K335)</f>
        <v>198593.930388</v>
      </c>
      <c r="N335" s="10" t="n">
        <f aca="false">M335*L335</f>
        <v>116435.621386484</v>
      </c>
      <c r="O335" s="10" t="n">
        <f aca="false">M335-N335</f>
        <v>82158.3090015156</v>
      </c>
      <c r="P335" s="10" t="n">
        <f aca="false">O335-I335</f>
        <v>813.133705515575</v>
      </c>
      <c r="Q335" s="10" t="n">
        <f aca="false">(J335-D335)*(1-E335)*(1-F335)</f>
        <v>4113.337536</v>
      </c>
      <c r="R335" s="10" t="n">
        <f aca="false">J335*(E335-K335)*(1-F335)</f>
        <v>-2049.06206904</v>
      </c>
      <c r="S335" s="10" t="n">
        <f aca="false">M335*(F335-L335)</f>
        <v>-1251.14176144442</v>
      </c>
      <c r="T335" s="10" t="n">
        <f aca="false">ROUND(P335-(Q335+R335+S335),2)</f>
        <v>-0</v>
      </c>
    </row>
    <row r="336" customFormat="false" ht="15" hidden="false" customHeight="true" outlineLevel="0" collapsed="false">
      <c r="A336" s="7" t="s">
        <v>65</v>
      </c>
      <c r="B336" s="7" t="s">
        <v>73</v>
      </c>
      <c r="C336" s="7" t="s">
        <v>67</v>
      </c>
      <c r="D336" s="8" t="n">
        <v>261887.63</v>
      </c>
      <c r="E336" s="9" t="n">
        <v>0.12</v>
      </c>
      <c r="F336" s="9" t="n">
        <v>0.58</v>
      </c>
      <c r="G336" s="10" t="n">
        <f aca="false">D336*(1-E336)</f>
        <v>230461.1144</v>
      </c>
      <c r="H336" s="10" t="n">
        <f aca="false">G336*F336</f>
        <v>133667.446352</v>
      </c>
      <c r="I336" s="10" t="n">
        <f aca="false">G336-H336</f>
        <v>96793.668048</v>
      </c>
      <c r="J336" s="8" t="n">
        <v>244463.76</v>
      </c>
      <c r="K336" s="9" t="n">
        <v>0.1266</v>
      </c>
      <c r="L336" s="9" t="n">
        <v>0.5798</v>
      </c>
      <c r="M336" s="10" t="n">
        <f aca="false">J336*(1-K336)</f>
        <v>213514.647984</v>
      </c>
      <c r="N336" s="10" t="n">
        <f aca="false">M336*L336</f>
        <v>123795.792901123</v>
      </c>
      <c r="O336" s="10" t="n">
        <f aca="false">M336-N336</f>
        <v>89718.8550828768</v>
      </c>
      <c r="P336" s="10" t="n">
        <f aca="false">O336-I336</f>
        <v>-7074.81296512319</v>
      </c>
      <c r="Q336" s="10" t="n">
        <f aca="false">(J336-D336)*(1-E336)*(1-F336)</f>
        <v>-6439.862352</v>
      </c>
      <c r="R336" s="10" t="n">
        <f aca="false">J336*(E336-K336)*(1-F336)</f>
        <v>-677.65354272</v>
      </c>
      <c r="S336" s="10" t="n">
        <f aca="false">M336*(F336-L336)</f>
        <v>42.7029295967953</v>
      </c>
      <c r="T336" s="10" t="n">
        <f aca="false">ROUND(P336-(Q336+R336+S336),2)</f>
        <v>0</v>
      </c>
    </row>
    <row r="337" customFormat="false" ht="15" hidden="false" customHeight="true" outlineLevel="0" collapsed="false">
      <c r="A337" s="7" t="s">
        <v>66</v>
      </c>
      <c r="B337" s="7" t="s">
        <v>73</v>
      </c>
      <c r="C337" s="7" t="s">
        <v>67</v>
      </c>
      <c r="D337" s="8" t="n">
        <v>247443.38</v>
      </c>
      <c r="E337" s="9" t="n">
        <v>0.12</v>
      </c>
      <c r="F337" s="9" t="n">
        <v>0.58</v>
      </c>
      <c r="G337" s="10" t="n">
        <f aca="false">D337*(1-E337)</f>
        <v>217750.1744</v>
      </c>
      <c r="H337" s="10" t="n">
        <f aca="false">G337*F337</f>
        <v>126295.101152</v>
      </c>
      <c r="I337" s="10" t="n">
        <f aca="false">G337-H337</f>
        <v>91455.073248</v>
      </c>
      <c r="J337" s="8" t="n">
        <v>248212.99</v>
      </c>
      <c r="K337" s="9" t="n">
        <v>0.1135</v>
      </c>
      <c r="L337" s="9" t="n">
        <v>0.5785</v>
      </c>
      <c r="M337" s="10" t="n">
        <f aca="false">J337*(1-K337)</f>
        <v>220040.815635</v>
      </c>
      <c r="N337" s="10" t="n">
        <f aca="false">M337*L337</f>
        <v>127293.611844847</v>
      </c>
      <c r="O337" s="10" t="n">
        <f aca="false">M337-N337</f>
        <v>92747.2037901525</v>
      </c>
      <c r="P337" s="10" t="n">
        <f aca="false">O337-I337</f>
        <v>1292.13054215247</v>
      </c>
      <c r="Q337" s="10" t="n">
        <f aca="false">(J337-D337)*(1-E337)*(1-F337)</f>
        <v>284.447855999995</v>
      </c>
      <c r="R337" s="10" t="n">
        <f aca="false">J337*(E337-K337)*(1-F337)</f>
        <v>677.621462699999</v>
      </c>
      <c r="S337" s="10" t="n">
        <f aca="false">M337*(F337-L337)</f>
        <v>330.061223452488</v>
      </c>
      <c r="T337" s="10" t="n">
        <f aca="false">ROUND(P337-(Q337+R337+S337),2)</f>
        <v>-0</v>
      </c>
    </row>
    <row r="338" customFormat="false" ht="15" hidden="false" customHeight="true" outlineLevel="0" collapsed="false">
      <c r="A338" s="7" t="s">
        <v>41</v>
      </c>
      <c r="B338" s="7" t="s">
        <v>73</v>
      </c>
      <c r="C338" s="7" t="s">
        <v>68</v>
      </c>
      <c r="D338" s="8" t="n">
        <v>124299.84</v>
      </c>
      <c r="E338" s="9" t="n">
        <v>0.08</v>
      </c>
      <c r="F338" s="9" t="n">
        <v>0.55</v>
      </c>
      <c r="G338" s="10" t="n">
        <f aca="false">D338*(1-E338)</f>
        <v>114355.8528</v>
      </c>
      <c r="H338" s="10" t="n">
        <f aca="false">G338*F338</f>
        <v>62895.71904</v>
      </c>
      <c r="I338" s="10" t="n">
        <f aca="false">G338-H338</f>
        <v>51460.13376</v>
      </c>
      <c r="J338" s="8" t="n">
        <v>120587.94</v>
      </c>
      <c r="K338" s="9" t="n">
        <v>0.0801</v>
      </c>
      <c r="L338" s="9" t="n">
        <v>0.543</v>
      </c>
      <c r="M338" s="10" t="n">
        <f aca="false">J338*(1-K338)</f>
        <v>110928.846006</v>
      </c>
      <c r="N338" s="10" t="n">
        <f aca="false">M338*L338</f>
        <v>60234.363381258</v>
      </c>
      <c r="O338" s="10" t="n">
        <f aca="false">M338-N338</f>
        <v>50694.482624742</v>
      </c>
      <c r="P338" s="10" t="n">
        <f aca="false">O338-I338</f>
        <v>-765.651135258006</v>
      </c>
      <c r="Q338" s="10" t="n">
        <f aca="false">(J338-D338)*(1-E338)*(1-F338)</f>
        <v>-1536.7266</v>
      </c>
      <c r="R338" s="10" t="n">
        <f aca="false">J338*(E338-K338)*(1-F338)</f>
        <v>-5.42645730000016</v>
      </c>
      <c r="S338" s="10" t="n">
        <f aca="false">M338*(F338-L338)</f>
        <v>776.501922042001</v>
      </c>
      <c r="T338" s="10" t="n">
        <f aca="false">ROUND(P338-(Q338+R338+S338),2)</f>
        <v>-0</v>
      </c>
    </row>
    <row r="339" customFormat="false" ht="15" hidden="false" customHeight="true" outlineLevel="0" collapsed="false">
      <c r="A339" s="7" t="s">
        <v>44</v>
      </c>
      <c r="B339" s="7" t="s">
        <v>73</v>
      </c>
      <c r="C339" s="7" t="s">
        <v>68</v>
      </c>
      <c r="D339" s="8" t="n">
        <v>122509.92</v>
      </c>
      <c r="E339" s="9" t="n">
        <v>0.08</v>
      </c>
      <c r="F339" s="9" t="n">
        <v>0.55</v>
      </c>
      <c r="G339" s="10" t="n">
        <f aca="false">D339*(1-E339)</f>
        <v>112709.1264</v>
      </c>
      <c r="H339" s="10" t="n">
        <f aca="false">G339*F339</f>
        <v>61990.01952</v>
      </c>
      <c r="I339" s="10" t="n">
        <f aca="false">G339-H339</f>
        <v>50719.10688</v>
      </c>
      <c r="J339" s="8" t="n">
        <v>123093.68</v>
      </c>
      <c r="K339" s="9" t="n">
        <v>0.0733</v>
      </c>
      <c r="L339" s="9" t="n">
        <v>0.5396</v>
      </c>
      <c r="M339" s="10" t="n">
        <f aca="false">J339*(1-K339)</f>
        <v>114070.913256</v>
      </c>
      <c r="N339" s="10" t="n">
        <f aca="false">M339*L339</f>
        <v>61552.6647929376</v>
      </c>
      <c r="O339" s="10" t="n">
        <f aca="false">M339-N339</f>
        <v>52518.2484630624</v>
      </c>
      <c r="P339" s="10" t="n">
        <f aca="false">O339-I339</f>
        <v>1799.1415830624</v>
      </c>
      <c r="Q339" s="10" t="n">
        <f aca="false">(J339-D339)*(1-E339)*(1-F339)</f>
        <v>241.676639999998</v>
      </c>
      <c r="R339" s="10" t="n">
        <f aca="false">J339*(E339-K339)*(1-F339)</f>
        <v>371.1274452</v>
      </c>
      <c r="S339" s="10" t="n">
        <f aca="false">M339*(F339-L339)</f>
        <v>1186.33749786241</v>
      </c>
      <c r="T339" s="10" t="n">
        <f aca="false">ROUND(P339-(Q339+R339+S339),2)</f>
        <v>-0</v>
      </c>
    </row>
    <row r="340" customFormat="false" ht="15" hidden="false" customHeight="true" outlineLevel="0" collapsed="false">
      <c r="A340" s="7" t="s">
        <v>45</v>
      </c>
      <c r="B340" s="7" t="s">
        <v>73</v>
      </c>
      <c r="C340" s="7" t="s">
        <v>68</v>
      </c>
      <c r="D340" s="8" t="n">
        <v>133304.67</v>
      </c>
      <c r="E340" s="9" t="n">
        <v>0.08</v>
      </c>
      <c r="F340" s="9" t="n">
        <v>0.55</v>
      </c>
      <c r="G340" s="10" t="n">
        <f aca="false">D340*(1-E340)</f>
        <v>122640.2964</v>
      </c>
      <c r="H340" s="10" t="n">
        <f aca="false">G340*F340</f>
        <v>67452.16302</v>
      </c>
      <c r="I340" s="10" t="n">
        <f aca="false">G340-H340</f>
        <v>55188.13338</v>
      </c>
      <c r="J340" s="8" t="n">
        <v>127843.9</v>
      </c>
      <c r="K340" s="9" t="n">
        <v>0.0848</v>
      </c>
      <c r="L340" s="9" t="n">
        <v>0.5469</v>
      </c>
      <c r="M340" s="10" t="n">
        <f aca="false">J340*(1-K340)</f>
        <v>117002.73728</v>
      </c>
      <c r="N340" s="10" t="n">
        <f aca="false">M340*L340</f>
        <v>63988.797018432</v>
      </c>
      <c r="O340" s="10" t="n">
        <f aca="false">M340-N340</f>
        <v>53013.940261568</v>
      </c>
      <c r="P340" s="10" t="n">
        <f aca="false">O340-I340</f>
        <v>-2174.19311843201</v>
      </c>
      <c r="Q340" s="10" t="n">
        <f aca="false">(J340-D340)*(1-E340)*(1-F340)</f>
        <v>-2260.75878000001</v>
      </c>
      <c r="R340" s="10" t="n">
        <f aca="false">J340*(E340-K340)*(1-F340)</f>
        <v>-276.142824</v>
      </c>
      <c r="S340" s="10" t="n">
        <f aca="false">M340*(F340-L340)</f>
        <v>362.708485567999</v>
      </c>
      <c r="T340" s="10" t="n">
        <f aca="false">ROUND(P340-(Q340+R340+S340),2)</f>
        <v>0</v>
      </c>
    </row>
    <row r="341" customFormat="false" ht="15" hidden="false" customHeight="true" outlineLevel="0" collapsed="false">
      <c r="A341" s="7" t="s">
        <v>46</v>
      </c>
      <c r="B341" s="7" t="s">
        <v>73</v>
      </c>
      <c r="C341" s="7" t="s">
        <v>68</v>
      </c>
      <c r="D341" s="8" t="n">
        <v>138597.09</v>
      </c>
      <c r="E341" s="9" t="n">
        <v>0.08</v>
      </c>
      <c r="F341" s="9" t="n">
        <v>0.55</v>
      </c>
      <c r="G341" s="10" t="n">
        <f aca="false">D341*(1-E341)</f>
        <v>127509.3228</v>
      </c>
      <c r="H341" s="10" t="n">
        <f aca="false">G341*F341</f>
        <v>70130.12754</v>
      </c>
      <c r="I341" s="10" t="n">
        <f aca="false">G341-H341</f>
        <v>57379.19526</v>
      </c>
      <c r="J341" s="8" t="n">
        <v>138471.72</v>
      </c>
      <c r="K341" s="9" t="n">
        <v>0.0753</v>
      </c>
      <c r="L341" s="9" t="n">
        <v>0.5554</v>
      </c>
      <c r="M341" s="10" t="n">
        <f aca="false">J341*(1-K341)</f>
        <v>128044.799484</v>
      </c>
      <c r="N341" s="10" t="n">
        <f aca="false">M341*L341</f>
        <v>71116.0816334136</v>
      </c>
      <c r="O341" s="10" t="n">
        <f aca="false">M341-N341</f>
        <v>56928.7178505864</v>
      </c>
      <c r="P341" s="10" t="n">
        <f aca="false">O341-I341</f>
        <v>-450.477409413594</v>
      </c>
      <c r="Q341" s="10" t="n">
        <f aca="false">(J341-D341)*(1-E341)*(1-F341)</f>
        <v>-51.9031799999981</v>
      </c>
      <c r="R341" s="10" t="n">
        <f aca="false">J341*(E341-K341)*(1-F341)</f>
        <v>292.8676878</v>
      </c>
      <c r="S341" s="10" t="n">
        <f aca="false">M341*(F341-L341)</f>
        <v>-691.441917213595</v>
      </c>
      <c r="T341" s="10" t="n">
        <f aca="false">ROUND(P341-(Q341+R341+S341),2)</f>
        <v>0</v>
      </c>
    </row>
    <row r="342" customFormat="false" ht="15" hidden="false" customHeight="true" outlineLevel="0" collapsed="false">
      <c r="A342" s="7" t="s">
        <v>47</v>
      </c>
      <c r="B342" s="7" t="s">
        <v>73</v>
      </c>
      <c r="C342" s="7" t="s">
        <v>68</v>
      </c>
      <c r="D342" s="8" t="n">
        <v>142530.49</v>
      </c>
      <c r="E342" s="9" t="n">
        <v>0.08</v>
      </c>
      <c r="F342" s="9" t="n">
        <v>0.55</v>
      </c>
      <c r="G342" s="10" t="n">
        <f aca="false">D342*(1-E342)</f>
        <v>131128.0508</v>
      </c>
      <c r="H342" s="10" t="n">
        <f aca="false">G342*F342</f>
        <v>72120.42794</v>
      </c>
      <c r="I342" s="10" t="n">
        <f aca="false">G342-H342</f>
        <v>59007.62286</v>
      </c>
      <c r="J342" s="8" t="n">
        <v>144682.65</v>
      </c>
      <c r="K342" s="9" t="n">
        <v>0.0959</v>
      </c>
      <c r="L342" s="9" t="n">
        <v>0.5688</v>
      </c>
      <c r="M342" s="10" t="n">
        <f aca="false">J342*(1-K342)</f>
        <v>130807.583865</v>
      </c>
      <c r="N342" s="10" t="n">
        <f aca="false">M342*L342</f>
        <v>74403.353702412</v>
      </c>
      <c r="O342" s="10" t="n">
        <f aca="false">M342-N342</f>
        <v>56404.230162588</v>
      </c>
      <c r="P342" s="10" t="n">
        <f aca="false">O342-I342</f>
        <v>-2603.39269741198</v>
      </c>
      <c r="Q342" s="10" t="n">
        <f aca="false">(J342-D342)*(1-E342)*(1-F342)</f>
        <v>890.994240000001</v>
      </c>
      <c r="R342" s="10" t="n">
        <f aca="false">J342*(E342-K342)*(1-F342)</f>
        <v>-1035.20436075</v>
      </c>
      <c r="S342" s="10" t="n">
        <f aca="false">M342*(F342-L342)</f>
        <v>-2459.18257666199</v>
      </c>
      <c r="T342" s="10" t="n">
        <f aca="false">ROUND(P342-(Q342+R342+S342),2)</f>
        <v>0</v>
      </c>
    </row>
    <row r="343" customFormat="false" ht="15" hidden="false" customHeight="true" outlineLevel="0" collapsed="false">
      <c r="A343" s="7" t="s">
        <v>48</v>
      </c>
      <c r="B343" s="7" t="s">
        <v>73</v>
      </c>
      <c r="C343" s="7" t="s">
        <v>68</v>
      </c>
      <c r="D343" s="8" t="n">
        <v>146508.08</v>
      </c>
      <c r="E343" s="9" t="n">
        <v>0.08</v>
      </c>
      <c r="F343" s="9" t="n">
        <v>0.55</v>
      </c>
      <c r="G343" s="10" t="n">
        <f aca="false">D343*(1-E343)</f>
        <v>134787.4336</v>
      </c>
      <c r="H343" s="10" t="n">
        <f aca="false">G343*F343</f>
        <v>74133.08848</v>
      </c>
      <c r="I343" s="10" t="n">
        <f aca="false">G343-H343</f>
        <v>60654.34512</v>
      </c>
      <c r="J343" s="8" t="n">
        <v>146259.29</v>
      </c>
      <c r="K343" s="9" t="n">
        <v>0.0613</v>
      </c>
      <c r="L343" s="9" t="n">
        <v>0.5507</v>
      </c>
      <c r="M343" s="10" t="n">
        <f aca="false">J343*(1-K343)</f>
        <v>137293.595523</v>
      </c>
      <c r="N343" s="10" t="n">
        <f aca="false">M343*L343</f>
        <v>75607.5830545161</v>
      </c>
      <c r="O343" s="10" t="n">
        <f aca="false">M343-N343</f>
        <v>61686.0124684839</v>
      </c>
      <c r="P343" s="10" t="n">
        <f aca="false">O343-I343</f>
        <v>1031.66734848391</v>
      </c>
      <c r="Q343" s="10" t="n">
        <f aca="false">(J343-D343)*(1-E343)*(1-F343)</f>
        <v>-102.999059999991</v>
      </c>
      <c r="R343" s="10" t="n">
        <f aca="false">J343*(E343-K343)*(1-F343)</f>
        <v>1230.77192535</v>
      </c>
      <c r="S343" s="10" t="n">
        <f aca="false">M343*(F343-L343)</f>
        <v>-96.1055168660894</v>
      </c>
      <c r="T343" s="10" t="n">
        <f aca="false">ROUND(P343-(Q343+R343+S343),2)</f>
        <v>-0</v>
      </c>
    </row>
    <row r="344" customFormat="false" ht="15" hidden="false" customHeight="true" outlineLevel="0" collapsed="false">
      <c r="A344" s="7" t="s">
        <v>49</v>
      </c>
      <c r="B344" s="7" t="s">
        <v>73</v>
      </c>
      <c r="C344" s="7" t="s">
        <v>68</v>
      </c>
      <c r="D344" s="8" t="n">
        <v>144740.26</v>
      </c>
      <c r="E344" s="9" t="n">
        <v>0.08</v>
      </c>
      <c r="F344" s="9" t="n">
        <v>0.55</v>
      </c>
      <c r="G344" s="10" t="n">
        <f aca="false">D344*(1-E344)</f>
        <v>133161.0392</v>
      </c>
      <c r="H344" s="10" t="n">
        <f aca="false">G344*F344</f>
        <v>73238.57156</v>
      </c>
      <c r="I344" s="10" t="n">
        <f aca="false">G344-H344</f>
        <v>59922.46764</v>
      </c>
      <c r="J344" s="8" t="n">
        <v>156794.63</v>
      </c>
      <c r="K344" s="9" t="n">
        <v>0.0804</v>
      </c>
      <c r="L344" s="9" t="n">
        <v>0.5445</v>
      </c>
      <c r="M344" s="10" t="n">
        <f aca="false">J344*(1-K344)</f>
        <v>144188.341748</v>
      </c>
      <c r="N344" s="10" t="n">
        <f aca="false">M344*L344</f>
        <v>78510.552081786</v>
      </c>
      <c r="O344" s="10" t="n">
        <f aca="false">M344-N344</f>
        <v>65677.789666214</v>
      </c>
      <c r="P344" s="10" t="n">
        <f aca="false">O344-I344</f>
        <v>5755.32202621401</v>
      </c>
      <c r="Q344" s="10" t="n">
        <f aca="false">(J344-D344)*(1-E344)*(1-F344)</f>
        <v>4990.50918</v>
      </c>
      <c r="R344" s="10" t="n">
        <f aca="false">J344*(E344-K344)*(1-F344)</f>
        <v>-28.2230333999998</v>
      </c>
      <c r="S344" s="10" t="n">
        <f aca="false">M344*(F344-L344)</f>
        <v>793.035879614009</v>
      </c>
      <c r="T344" s="10" t="n">
        <f aca="false">ROUND(P344-(Q344+R344+S344),2)</f>
        <v>0</v>
      </c>
    </row>
    <row r="345" customFormat="false" ht="15" hidden="false" customHeight="true" outlineLevel="0" collapsed="false">
      <c r="A345" s="7" t="s">
        <v>50</v>
      </c>
      <c r="B345" s="7" t="s">
        <v>73</v>
      </c>
      <c r="C345" s="7" t="s">
        <v>68</v>
      </c>
      <c r="D345" s="8" t="n">
        <v>150220.5</v>
      </c>
      <c r="E345" s="9" t="n">
        <v>0.08</v>
      </c>
      <c r="F345" s="9" t="n">
        <v>0.55</v>
      </c>
      <c r="G345" s="10" t="n">
        <f aca="false">D345*(1-E345)</f>
        <v>138202.86</v>
      </c>
      <c r="H345" s="10" t="n">
        <f aca="false">G345*F345</f>
        <v>76011.573</v>
      </c>
      <c r="I345" s="10" t="n">
        <f aca="false">G345-H345</f>
        <v>62191.287</v>
      </c>
      <c r="J345" s="8" t="n">
        <v>154784.06</v>
      </c>
      <c r="K345" s="9" t="n">
        <v>0.0847</v>
      </c>
      <c r="L345" s="9" t="n">
        <v>0.5525</v>
      </c>
      <c r="M345" s="10" t="n">
        <f aca="false">J345*(1-K345)</f>
        <v>141673.850118</v>
      </c>
      <c r="N345" s="10" t="n">
        <f aca="false">M345*L345</f>
        <v>78274.802190195</v>
      </c>
      <c r="O345" s="10" t="n">
        <f aca="false">M345-N345</f>
        <v>63399.047927805</v>
      </c>
      <c r="P345" s="10" t="n">
        <f aca="false">O345-I345</f>
        <v>1207.76092780501</v>
      </c>
      <c r="Q345" s="10" t="n">
        <f aca="false">(J345-D345)*(1-E345)*(1-F345)</f>
        <v>1889.31384</v>
      </c>
      <c r="R345" s="10" t="n">
        <f aca="false">J345*(E345-K345)*(1-F345)</f>
        <v>-327.3682869</v>
      </c>
      <c r="S345" s="10" t="n">
        <f aca="false">M345*(F345-L345)</f>
        <v>-354.184625294992</v>
      </c>
      <c r="T345" s="10" t="n">
        <f aca="false">ROUND(P345-(Q345+R345+S345),2)</f>
        <v>0</v>
      </c>
    </row>
    <row r="346" customFormat="false" ht="15" hidden="false" customHeight="true" outlineLevel="0" collapsed="false">
      <c r="A346" s="7" t="s">
        <v>51</v>
      </c>
      <c r="B346" s="7" t="s">
        <v>73</v>
      </c>
      <c r="C346" s="7" t="s">
        <v>68</v>
      </c>
      <c r="D346" s="8" t="n">
        <v>154297.54</v>
      </c>
      <c r="E346" s="9" t="n">
        <v>0.08</v>
      </c>
      <c r="F346" s="9" t="n">
        <v>0.55</v>
      </c>
      <c r="G346" s="10" t="n">
        <f aca="false">D346*(1-E346)</f>
        <v>141953.7368</v>
      </c>
      <c r="H346" s="10" t="n">
        <f aca="false">G346*F346</f>
        <v>78074.55524</v>
      </c>
      <c r="I346" s="10" t="n">
        <f aca="false">G346-H346</f>
        <v>63879.18156</v>
      </c>
      <c r="J346" s="8" t="n">
        <v>159142.06</v>
      </c>
      <c r="K346" s="9" t="n">
        <v>0.0804</v>
      </c>
      <c r="L346" s="9" t="n">
        <v>0.5627</v>
      </c>
      <c r="M346" s="10" t="n">
        <f aca="false">J346*(1-K346)</f>
        <v>146347.038376</v>
      </c>
      <c r="N346" s="10" t="n">
        <f aca="false">M346*L346</f>
        <v>82349.4784941752</v>
      </c>
      <c r="O346" s="10" t="n">
        <f aca="false">M346-N346</f>
        <v>63997.5598818248</v>
      </c>
      <c r="P346" s="10" t="n">
        <f aca="false">O346-I346</f>
        <v>118.378321824799</v>
      </c>
      <c r="Q346" s="10" t="n">
        <f aca="false">(J346-D346)*(1-E346)*(1-F346)</f>
        <v>2005.63128</v>
      </c>
      <c r="R346" s="10" t="n">
        <f aca="false">J346*(E346-K346)*(1-F346)</f>
        <v>-28.6455707999998</v>
      </c>
      <c r="S346" s="10" t="n">
        <f aca="false">M346*(F346-L346)</f>
        <v>-1858.60738737519</v>
      </c>
      <c r="T346" s="10" t="n">
        <f aca="false">ROUND(P346-(Q346+R346+S346),2)</f>
        <v>-0</v>
      </c>
    </row>
    <row r="347" customFormat="false" ht="15" hidden="false" customHeight="true" outlineLevel="0" collapsed="false">
      <c r="A347" s="7" t="s">
        <v>52</v>
      </c>
      <c r="B347" s="7" t="s">
        <v>73</v>
      </c>
      <c r="C347" s="7" t="s">
        <v>68</v>
      </c>
      <c r="D347" s="8" t="n">
        <v>162860.41</v>
      </c>
      <c r="E347" s="9" t="n">
        <v>0.08</v>
      </c>
      <c r="F347" s="9" t="n">
        <v>0.55</v>
      </c>
      <c r="G347" s="10" t="n">
        <f aca="false">D347*(1-E347)</f>
        <v>149831.5772</v>
      </c>
      <c r="H347" s="10" t="n">
        <f aca="false">G347*F347</f>
        <v>82407.36746</v>
      </c>
      <c r="I347" s="10" t="n">
        <f aca="false">G347-H347</f>
        <v>67424.20974</v>
      </c>
      <c r="J347" s="8" t="n">
        <v>147231.6</v>
      </c>
      <c r="K347" s="9" t="n">
        <v>0.087</v>
      </c>
      <c r="L347" s="9" t="n">
        <v>0.5542</v>
      </c>
      <c r="M347" s="10" t="n">
        <f aca="false">J347*(1-K347)</f>
        <v>134422.4508</v>
      </c>
      <c r="N347" s="10" t="n">
        <f aca="false">M347*L347</f>
        <v>74496.92223336</v>
      </c>
      <c r="O347" s="10" t="n">
        <f aca="false">M347-N347</f>
        <v>59925.52856664</v>
      </c>
      <c r="P347" s="10" t="n">
        <f aca="false">O347-I347</f>
        <v>-7498.68117335999</v>
      </c>
      <c r="Q347" s="10" t="n">
        <f aca="false">(J347-D347)*(1-E347)*(1-F347)</f>
        <v>-6470.32734</v>
      </c>
      <c r="R347" s="10" t="n">
        <f aca="false">J347*(E347-K347)*(1-F347)</f>
        <v>-463.77954</v>
      </c>
      <c r="S347" s="10" t="n">
        <f aca="false">M347*(F347-L347)</f>
        <v>-564.574293359998</v>
      </c>
      <c r="T347" s="10" t="n">
        <f aca="false">ROUND(P347-(Q347+R347+S347),2)</f>
        <v>0</v>
      </c>
    </row>
    <row r="348" customFormat="false" ht="15" hidden="false" customHeight="true" outlineLevel="0" collapsed="false">
      <c r="A348" s="7" t="s">
        <v>53</v>
      </c>
      <c r="B348" s="7" t="s">
        <v>73</v>
      </c>
      <c r="C348" s="7" t="s">
        <v>68</v>
      </c>
      <c r="D348" s="8" t="n">
        <v>193907.75</v>
      </c>
      <c r="E348" s="9" t="n">
        <v>0.08</v>
      </c>
      <c r="F348" s="9" t="n">
        <v>0.55</v>
      </c>
      <c r="G348" s="10" t="n">
        <f aca="false">D348*(1-E348)</f>
        <v>178395.13</v>
      </c>
      <c r="H348" s="10" t="n">
        <f aca="false">G348*F348</f>
        <v>98117.3215</v>
      </c>
      <c r="I348" s="10" t="n">
        <f aca="false">G348-H348</f>
        <v>80277.8085</v>
      </c>
      <c r="J348" s="8" t="n">
        <v>205321.19</v>
      </c>
      <c r="K348" s="9" t="n">
        <v>0.0811</v>
      </c>
      <c r="L348" s="9" t="n">
        <v>0.5489</v>
      </c>
      <c r="M348" s="10" t="n">
        <f aca="false">J348*(1-K348)</f>
        <v>188669.641491</v>
      </c>
      <c r="N348" s="10" t="n">
        <f aca="false">M348*L348</f>
        <v>103560.76621441</v>
      </c>
      <c r="O348" s="10" t="n">
        <f aca="false">M348-N348</f>
        <v>85108.8752765901</v>
      </c>
      <c r="P348" s="10" t="n">
        <f aca="false">O348-I348</f>
        <v>4831.0667765901</v>
      </c>
      <c r="Q348" s="10" t="n">
        <f aca="false">(J348-D348)*(1-E348)*(1-F348)</f>
        <v>4725.16416</v>
      </c>
      <c r="R348" s="10" t="n">
        <f aca="false">J348*(E348-K348)*(1-F348)</f>
        <v>-101.63398905</v>
      </c>
      <c r="S348" s="10" t="n">
        <f aca="false">M348*(F348-L348)</f>
        <v>207.536605640098</v>
      </c>
      <c r="T348" s="10" t="n">
        <f aca="false">ROUND(P348-(Q348+R348+S348),2)</f>
        <v>0</v>
      </c>
    </row>
    <row r="349" customFormat="false" ht="15" hidden="false" customHeight="true" outlineLevel="0" collapsed="false">
      <c r="A349" s="7" t="s">
        <v>54</v>
      </c>
      <c r="B349" s="7" t="s">
        <v>73</v>
      </c>
      <c r="C349" s="7" t="s">
        <v>68</v>
      </c>
      <c r="D349" s="8" t="n">
        <v>183322.93</v>
      </c>
      <c r="E349" s="9" t="n">
        <v>0.08</v>
      </c>
      <c r="F349" s="9" t="n">
        <v>0.55</v>
      </c>
      <c r="G349" s="10" t="n">
        <f aca="false">D349*(1-E349)</f>
        <v>168657.0956</v>
      </c>
      <c r="H349" s="10" t="n">
        <f aca="false">G349*F349</f>
        <v>92761.40258</v>
      </c>
      <c r="I349" s="10" t="n">
        <f aca="false">G349-H349</f>
        <v>75895.69302</v>
      </c>
      <c r="J349" s="8" t="n">
        <v>188870.81</v>
      </c>
      <c r="K349" s="9" t="n">
        <v>0.0572</v>
      </c>
      <c r="L349" s="9" t="n">
        <v>0.5546</v>
      </c>
      <c r="M349" s="10" t="n">
        <f aca="false">J349*(1-K349)</f>
        <v>178067.399668</v>
      </c>
      <c r="N349" s="10" t="n">
        <f aca="false">M349*L349</f>
        <v>98756.1798558728</v>
      </c>
      <c r="O349" s="10" t="n">
        <f aca="false">M349-N349</f>
        <v>79311.2198121272</v>
      </c>
      <c r="P349" s="10" t="n">
        <f aca="false">O349-I349</f>
        <v>3415.52679212722</v>
      </c>
      <c r="Q349" s="10" t="n">
        <f aca="false">(J349-D349)*(1-E349)*(1-F349)</f>
        <v>2296.82232</v>
      </c>
      <c r="R349" s="10" t="n">
        <f aca="false">J349*(E349-K349)*(1-F349)</f>
        <v>1937.8145106</v>
      </c>
      <c r="S349" s="10" t="n">
        <f aca="false">M349*(F349-L349)</f>
        <v>-819.110038472789</v>
      </c>
      <c r="T349" s="10" t="n">
        <f aca="false">ROUND(P349-(Q349+R349+S349),2)</f>
        <v>0</v>
      </c>
    </row>
    <row r="350" customFormat="false" ht="15" hidden="false" customHeight="true" outlineLevel="0" collapsed="false">
      <c r="A350" s="7" t="s">
        <v>55</v>
      </c>
      <c r="B350" s="7" t="s">
        <v>73</v>
      </c>
      <c r="C350" s="7" t="s">
        <v>68</v>
      </c>
      <c r="D350" s="8" t="n">
        <v>136232.63</v>
      </c>
      <c r="E350" s="9" t="n">
        <v>0.08</v>
      </c>
      <c r="F350" s="9" t="n">
        <v>0.55</v>
      </c>
      <c r="G350" s="10" t="n">
        <f aca="false">D350*(1-E350)</f>
        <v>125334.0196</v>
      </c>
      <c r="H350" s="10" t="n">
        <f aca="false">G350*F350</f>
        <v>68933.71078</v>
      </c>
      <c r="I350" s="10" t="n">
        <f aca="false">G350-H350</f>
        <v>56400.30882</v>
      </c>
      <c r="J350" s="8" t="n">
        <v>146462.44</v>
      </c>
      <c r="K350" s="9" t="n">
        <v>0.0723</v>
      </c>
      <c r="L350" s="9" t="n">
        <v>0.5623</v>
      </c>
      <c r="M350" s="10" t="n">
        <f aca="false">J350*(1-K350)</f>
        <v>135873.205588</v>
      </c>
      <c r="N350" s="10" t="n">
        <f aca="false">M350*L350</f>
        <v>76401.5035021324</v>
      </c>
      <c r="O350" s="10" t="n">
        <f aca="false">M350-N350</f>
        <v>59471.7020858676</v>
      </c>
      <c r="P350" s="10" t="n">
        <f aca="false">O350-I350</f>
        <v>3071.39326586759</v>
      </c>
      <c r="Q350" s="10" t="n">
        <f aca="false">(J350-D350)*(1-E350)*(1-F350)</f>
        <v>4235.14134</v>
      </c>
      <c r="R350" s="10" t="n">
        <f aca="false">J350*(E350-K350)*(1-F350)</f>
        <v>507.4923546</v>
      </c>
      <c r="S350" s="10" t="n">
        <f aca="false">M350*(F350-L350)</f>
        <v>-1671.2404287324</v>
      </c>
      <c r="T350" s="10" t="n">
        <f aca="false">ROUND(P350-(Q350+R350+S350),2)</f>
        <v>0</v>
      </c>
    </row>
    <row r="351" customFormat="false" ht="15" hidden="false" customHeight="true" outlineLevel="0" collapsed="false">
      <c r="A351" s="7" t="s">
        <v>56</v>
      </c>
      <c r="B351" s="7" t="s">
        <v>73</v>
      </c>
      <c r="C351" s="7" t="s">
        <v>68</v>
      </c>
      <c r="D351" s="8" t="n">
        <v>134177.54</v>
      </c>
      <c r="E351" s="9" t="n">
        <v>0.08</v>
      </c>
      <c r="F351" s="9" t="n">
        <v>0.55</v>
      </c>
      <c r="G351" s="10" t="n">
        <f aca="false">D351*(1-E351)</f>
        <v>123443.3368</v>
      </c>
      <c r="H351" s="10" t="n">
        <f aca="false">G351*F351</f>
        <v>67893.83524</v>
      </c>
      <c r="I351" s="10" t="n">
        <f aca="false">G351-H351</f>
        <v>55549.50156</v>
      </c>
      <c r="J351" s="8" t="n">
        <v>130851.09</v>
      </c>
      <c r="K351" s="9" t="n">
        <v>0.1018</v>
      </c>
      <c r="L351" s="9" t="n">
        <v>0.5451</v>
      </c>
      <c r="M351" s="10" t="n">
        <f aca="false">J351*(1-K351)</f>
        <v>117530.449038</v>
      </c>
      <c r="N351" s="10" t="n">
        <f aca="false">M351*L351</f>
        <v>64065.8477706138</v>
      </c>
      <c r="O351" s="10" t="n">
        <f aca="false">M351-N351</f>
        <v>53464.6012673862</v>
      </c>
      <c r="P351" s="10" t="n">
        <f aca="false">O351-I351</f>
        <v>-2084.90029261381</v>
      </c>
      <c r="Q351" s="10" t="n">
        <f aca="false">(J351-D351)*(1-E351)*(1-F351)</f>
        <v>-1377.1503</v>
      </c>
      <c r="R351" s="10" t="n">
        <f aca="false">J351*(E351-K351)*(1-F351)</f>
        <v>-1283.6491929</v>
      </c>
      <c r="S351" s="10" t="n">
        <f aca="false">M351*(F351-L351)</f>
        <v>575.899200286202</v>
      </c>
      <c r="T351" s="10" t="n">
        <f aca="false">ROUND(P351-(Q351+R351+S351),2)</f>
        <v>-0</v>
      </c>
    </row>
    <row r="352" customFormat="false" ht="15" hidden="false" customHeight="true" outlineLevel="0" collapsed="false">
      <c r="A352" s="7" t="s">
        <v>57</v>
      </c>
      <c r="B352" s="7" t="s">
        <v>73</v>
      </c>
      <c r="C352" s="7" t="s">
        <v>68</v>
      </c>
      <c r="D352" s="8" t="n">
        <v>145900.39</v>
      </c>
      <c r="E352" s="9" t="n">
        <v>0.08</v>
      </c>
      <c r="F352" s="9" t="n">
        <v>0.55</v>
      </c>
      <c r="G352" s="10" t="n">
        <f aca="false">D352*(1-E352)</f>
        <v>134228.3588</v>
      </c>
      <c r="H352" s="10" t="n">
        <f aca="false">G352*F352</f>
        <v>73825.59734</v>
      </c>
      <c r="I352" s="10" t="n">
        <f aca="false">G352-H352</f>
        <v>60402.76146</v>
      </c>
      <c r="J352" s="8" t="n">
        <v>149342.43</v>
      </c>
      <c r="K352" s="9" t="n">
        <v>0.0754</v>
      </c>
      <c r="L352" s="9" t="n">
        <v>0.5476</v>
      </c>
      <c r="M352" s="10" t="n">
        <f aca="false">J352*(1-K352)</f>
        <v>138082.010778</v>
      </c>
      <c r="N352" s="10" t="n">
        <f aca="false">M352*L352</f>
        <v>75613.7091020328</v>
      </c>
      <c r="O352" s="10" t="n">
        <f aca="false">M352-N352</f>
        <v>62468.3016759672</v>
      </c>
      <c r="P352" s="10" t="n">
        <f aca="false">O352-I352</f>
        <v>2065.54021596721</v>
      </c>
      <c r="Q352" s="10" t="n">
        <f aca="false">(J352-D352)*(1-E352)*(1-F352)</f>
        <v>1425.00455999999</v>
      </c>
      <c r="R352" s="10" t="n">
        <f aca="false">J352*(E352-K352)*(1-F352)</f>
        <v>309.1388301</v>
      </c>
      <c r="S352" s="10" t="n">
        <f aca="false">M352*(F352-L352)</f>
        <v>331.39682586721</v>
      </c>
      <c r="T352" s="10" t="n">
        <f aca="false">ROUND(P352-(Q352+R352+S352),2)</f>
        <v>0</v>
      </c>
    </row>
    <row r="353" customFormat="false" ht="15" hidden="false" customHeight="true" outlineLevel="0" collapsed="false">
      <c r="A353" s="7" t="s">
        <v>58</v>
      </c>
      <c r="B353" s="7" t="s">
        <v>73</v>
      </c>
      <c r="C353" s="7" t="s">
        <v>68</v>
      </c>
      <c r="D353" s="8" t="n">
        <v>151590.56</v>
      </c>
      <c r="E353" s="9" t="n">
        <v>0.08</v>
      </c>
      <c r="F353" s="9" t="n">
        <v>0.55</v>
      </c>
      <c r="G353" s="10" t="n">
        <f aca="false">D353*(1-E353)</f>
        <v>139463.3152</v>
      </c>
      <c r="H353" s="10" t="n">
        <f aca="false">G353*F353</f>
        <v>76704.82336</v>
      </c>
      <c r="I353" s="10" t="n">
        <f aca="false">G353-H353</f>
        <v>62758.49184</v>
      </c>
      <c r="J353" s="8" t="n">
        <v>170109.76</v>
      </c>
      <c r="K353" s="9" t="n">
        <v>0.0852</v>
      </c>
      <c r="L353" s="9" t="n">
        <v>0.5575</v>
      </c>
      <c r="M353" s="10" t="n">
        <f aca="false">J353*(1-K353)</f>
        <v>155616.408448</v>
      </c>
      <c r="N353" s="10" t="n">
        <f aca="false">M353*L353</f>
        <v>86756.14770976</v>
      </c>
      <c r="O353" s="10" t="n">
        <f aca="false">M353-N353</f>
        <v>68860.26073824</v>
      </c>
      <c r="P353" s="10" t="n">
        <f aca="false">O353-I353</f>
        <v>6101.76889824001</v>
      </c>
      <c r="Q353" s="10" t="n">
        <f aca="false">(J353-D353)*(1-E353)*(1-F353)</f>
        <v>7666.94880000001</v>
      </c>
      <c r="R353" s="10" t="n">
        <f aca="false">J353*(E353-K353)*(1-F353)</f>
        <v>-398.0568384</v>
      </c>
      <c r="S353" s="10" t="n">
        <f aca="false">M353*(F353-L353)</f>
        <v>-1167.12306335999</v>
      </c>
      <c r="T353" s="10" t="n">
        <f aca="false">ROUND(P353-(Q353+R353+S353),2)</f>
        <v>0</v>
      </c>
    </row>
    <row r="354" customFormat="false" ht="15" hidden="false" customHeight="true" outlineLevel="0" collapsed="false">
      <c r="A354" s="7" t="s">
        <v>59</v>
      </c>
      <c r="B354" s="7" t="s">
        <v>73</v>
      </c>
      <c r="C354" s="7" t="s">
        <v>68</v>
      </c>
      <c r="D354" s="8" t="n">
        <v>155789.13</v>
      </c>
      <c r="E354" s="9" t="n">
        <v>0.08</v>
      </c>
      <c r="F354" s="9" t="n">
        <v>0.55</v>
      </c>
      <c r="G354" s="10" t="n">
        <f aca="false">D354*(1-E354)</f>
        <v>143325.9996</v>
      </c>
      <c r="H354" s="10" t="n">
        <f aca="false">G354*F354</f>
        <v>78829.29978</v>
      </c>
      <c r="I354" s="10" t="n">
        <f aca="false">G354-H354</f>
        <v>64496.69982</v>
      </c>
      <c r="J354" s="8" t="n">
        <v>157833.29</v>
      </c>
      <c r="K354" s="9" t="n">
        <v>0.0892</v>
      </c>
      <c r="L354" s="9" t="n">
        <v>0.5406</v>
      </c>
      <c r="M354" s="10" t="n">
        <f aca="false">J354*(1-K354)</f>
        <v>143754.560532</v>
      </c>
      <c r="N354" s="10" t="n">
        <f aca="false">M354*L354</f>
        <v>77713.7154235992</v>
      </c>
      <c r="O354" s="10" t="n">
        <f aca="false">M354-N354</f>
        <v>66040.8451084008</v>
      </c>
      <c r="P354" s="10" t="n">
        <f aca="false">O354-I354</f>
        <v>1544.14528840082</v>
      </c>
      <c r="Q354" s="10" t="n">
        <f aca="false">(J354-D354)*(1-E354)*(1-F354)</f>
        <v>846.282240000001</v>
      </c>
      <c r="R354" s="10" t="n">
        <f aca="false">J354*(E354-K354)*(1-F354)</f>
        <v>-653.4298206</v>
      </c>
      <c r="S354" s="10" t="n">
        <f aca="false">M354*(F354-L354)</f>
        <v>1351.29286900081</v>
      </c>
      <c r="T354" s="10" t="n">
        <f aca="false">ROUND(P354-(Q354+R354+S354),2)</f>
        <v>0</v>
      </c>
    </row>
    <row r="355" customFormat="false" ht="15" hidden="false" customHeight="true" outlineLevel="0" collapsed="false">
      <c r="A355" s="7" t="s">
        <v>60</v>
      </c>
      <c r="B355" s="7" t="s">
        <v>73</v>
      </c>
      <c r="C355" s="7" t="s">
        <v>68</v>
      </c>
      <c r="D355" s="8" t="n">
        <v>160031.9</v>
      </c>
      <c r="E355" s="9" t="n">
        <v>0.08</v>
      </c>
      <c r="F355" s="9" t="n">
        <v>0.55</v>
      </c>
      <c r="G355" s="10" t="n">
        <f aca="false">D355*(1-E355)</f>
        <v>147229.348</v>
      </c>
      <c r="H355" s="10" t="n">
        <f aca="false">G355*F355</f>
        <v>80976.1414</v>
      </c>
      <c r="I355" s="10" t="n">
        <f aca="false">G355-H355</f>
        <v>66253.2066</v>
      </c>
      <c r="J355" s="8" t="n">
        <v>161993.25</v>
      </c>
      <c r="K355" s="9" t="n">
        <v>0.0881</v>
      </c>
      <c r="L355" s="9" t="n">
        <v>0.5527</v>
      </c>
      <c r="M355" s="10" t="n">
        <f aca="false">J355*(1-K355)</f>
        <v>147721.644675</v>
      </c>
      <c r="N355" s="10" t="n">
        <f aca="false">M355*L355</f>
        <v>81645.7530118725</v>
      </c>
      <c r="O355" s="10" t="n">
        <f aca="false">M355-N355</f>
        <v>66075.8916631275</v>
      </c>
      <c r="P355" s="10" t="n">
        <f aca="false">O355-I355</f>
        <v>-177.314936872484</v>
      </c>
      <c r="Q355" s="10" t="n">
        <f aca="false">(J355-D355)*(1-E355)*(1-F355)</f>
        <v>811.998900000002</v>
      </c>
      <c r="R355" s="10" t="n">
        <f aca="false">J355*(E355-K355)*(1-F355)</f>
        <v>-590.46539625</v>
      </c>
      <c r="S355" s="10" t="n">
        <f aca="false">M355*(F355-L355)</f>
        <v>-398.848440622489</v>
      </c>
      <c r="T355" s="10" t="n">
        <f aca="false">ROUND(P355-(Q355+R355+S355),2)</f>
        <v>0</v>
      </c>
    </row>
    <row r="356" customFormat="false" ht="15" hidden="false" customHeight="true" outlineLevel="0" collapsed="false">
      <c r="A356" s="7" t="s">
        <v>61</v>
      </c>
      <c r="B356" s="7" t="s">
        <v>73</v>
      </c>
      <c r="C356" s="7" t="s">
        <v>68</v>
      </c>
      <c r="D356" s="8" t="n">
        <v>157998.91</v>
      </c>
      <c r="E356" s="9" t="n">
        <v>0.08</v>
      </c>
      <c r="F356" s="9" t="n">
        <v>0.55</v>
      </c>
      <c r="G356" s="10" t="n">
        <f aca="false">D356*(1-E356)</f>
        <v>145358.9972</v>
      </c>
      <c r="H356" s="10" t="n">
        <f aca="false">G356*F356</f>
        <v>79947.44846</v>
      </c>
      <c r="I356" s="10" t="n">
        <f aca="false">G356-H356</f>
        <v>65411.54874</v>
      </c>
      <c r="J356" s="8" t="n">
        <v>162436.35</v>
      </c>
      <c r="K356" s="9" t="n">
        <v>0.0833</v>
      </c>
      <c r="L356" s="9" t="n">
        <v>0.5566</v>
      </c>
      <c r="M356" s="10" t="n">
        <f aca="false">J356*(1-K356)</f>
        <v>148905.402045</v>
      </c>
      <c r="N356" s="10" t="n">
        <f aca="false">M356*L356</f>
        <v>82880.746778247</v>
      </c>
      <c r="O356" s="10" t="n">
        <f aca="false">M356-N356</f>
        <v>66024.655266753</v>
      </c>
      <c r="P356" s="10" t="n">
        <f aca="false">O356-I356</f>
        <v>613.106526753007</v>
      </c>
      <c r="Q356" s="10" t="n">
        <f aca="false">(J356-D356)*(1-E356)*(1-F356)</f>
        <v>1837.10016</v>
      </c>
      <c r="R356" s="10" t="n">
        <f aca="false">J356*(E356-K356)*(1-F356)</f>
        <v>-241.21797975</v>
      </c>
      <c r="S356" s="10" t="n">
        <f aca="false">M356*(F356-L356)</f>
        <v>-982.775653496991</v>
      </c>
      <c r="T356" s="10" t="n">
        <f aca="false">ROUND(P356-(Q356+R356+S356),2)</f>
        <v>-0</v>
      </c>
    </row>
    <row r="357" customFormat="false" ht="15" hidden="false" customHeight="true" outlineLevel="0" collapsed="false">
      <c r="A357" s="7" t="s">
        <v>62</v>
      </c>
      <c r="B357" s="7" t="s">
        <v>73</v>
      </c>
      <c r="C357" s="7" t="s">
        <v>68</v>
      </c>
      <c r="D357" s="8" t="n">
        <v>163876.91</v>
      </c>
      <c r="E357" s="9" t="n">
        <v>0.08</v>
      </c>
      <c r="F357" s="9" t="n">
        <v>0.55</v>
      </c>
      <c r="G357" s="10" t="n">
        <f aca="false">D357*(1-E357)</f>
        <v>150766.7572</v>
      </c>
      <c r="H357" s="10" t="n">
        <f aca="false">G357*F357</f>
        <v>82921.71646</v>
      </c>
      <c r="I357" s="10" t="n">
        <f aca="false">G357-H357</f>
        <v>67845.04074</v>
      </c>
      <c r="J357" s="8" t="n">
        <v>174258.57</v>
      </c>
      <c r="K357" s="9" t="n">
        <v>0.0943</v>
      </c>
      <c r="L357" s="9" t="n">
        <v>0.545</v>
      </c>
      <c r="M357" s="10" t="n">
        <f aca="false">J357*(1-K357)</f>
        <v>157825.986849</v>
      </c>
      <c r="N357" s="10" t="n">
        <f aca="false">M357*L357</f>
        <v>86015.162832705</v>
      </c>
      <c r="O357" s="10" t="n">
        <f aca="false">M357-N357</f>
        <v>71810.824016295</v>
      </c>
      <c r="P357" s="10" t="n">
        <f aca="false">O357-I357</f>
        <v>3965.783276295</v>
      </c>
      <c r="Q357" s="10" t="n">
        <f aca="false">(J357-D357)*(1-E357)*(1-F357)</f>
        <v>4298.00724</v>
      </c>
      <c r="R357" s="10" t="n">
        <f aca="false">J357*(E357-K357)*(1-F357)</f>
        <v>-1121.35389795</v>
      </c>
      <c r="S357" s="10" t="n">
        <f aca="false">M357*(F357-L357)</f>
        <v>789.129934245001</v>
      </c>
      <c r="T357" s="10" t="n">
        <f aca="false">ROUND(P357-(Q357+R357+S357),2)</f>
        <v>0</v>
      </c>
    </row>
    <row r="358" customFormat="false" ht="15" hidden="false" customHeight="true" outlineLevel="0" collapsed="false">
      <c r="A358" s="7" t="s">
        <v>63</v>
      </c>
      <c r="B358" s="7" t="s">
        <v>73</v>
      </c>
      <c r="C358" s="7" t="s">
        <v>68</v>
      </c>
      <c r="D358" s="8" t="n">
        <v>168219.12</v>
      </c>
      <c r="E358" s="9" t="n">
        <v>0.08</v>
      </c>
      <c r="F358" s="9" t="n">
        <v>0.55</v>
      </c>
      <c r="G358" s="10" t="n">
        <f aca="false">D358*(1-E358)</f>
        <v>154761.5904</v>
      </c>
      <c r="H358" s="10" t="n">
        <f aca="false">G358*F358</f>
        <v>85118.87472</v>
      </c>
      <c r="I358" s="10" t="n">
        <f aca="false">G358-H358</f>
        <v>69642.71568</v>
      </c>
      <c r="J358" s="8" t="n">
        <v>164230.64</v>
      </c>
      <c r="K358" s="9" t="n">
        <v>0.0824</v>
      </c>
      <c r="L358" s="9" t="n">
        <v>0.5495</v>
      </c>
      <c r="M358" s="10" t="n">
        <f aca="false">J358*(1-K358)</f>
        <v>150698.035264</v>
      </c>
      <c r="N358" s="10" t="n">
        <f aca="false">M358*L358</f>
        <v>82808.570377568</v>
      </c>
      <c r="O358" s="10" t="n">
        <f aca="false">M358-N358</f>
        <v>67889.464886432</v>
      </c>
      <c r="P358" s="10" t="n">
        <f aca="false">O358-I358</f>
        <v>-1753.25079356799</v>
      </c>
      <c r="Q358" s="10" t="n">
        <f aca="false">(J358-D358)*(1-E358)*(1-F358)</f>
        <v>-1651.23071999999</v>
      </c>
      <c r="R358" s="10" t="n">
        <f aca="false">J358*(E358-K358)*(1-F358)</f>
        <v>-177.3690912</v>
      </c>
      <c r="S358" s="10" t="n">
        <f aca="false">M358*(F358-L358)</f>
        <v>75.3490176320084</v>
      </c>
      <c r="T358" s="10" t="n">
        <f aca="false">ROUND(P358-(Q358+R358+S358),2)</f>
        <v>0</v>
      </c>
    </row>
    <row r="359" customFormat="false" ht="15" hidden="false" customHeight="true" outlineLevel="0" collapsed="false">
      <c r="A359" s="7" t="s">
        <v>64</v>
      </c>
      <c r="B359" s="7" t="s">
        <v>73</v>
      </c>
      <c r="C359" s="7" t="s">
        <v>68</v>
      </c>
      <c r="D359" s="8" t="n">
        <v>177444.93</v>
      </c>
      <c r="E359" s="9" t="n">
        <v>0.08</v>
      </c>
      <c r="F359" s="9" t="n">
        <v>0.55</v>
      </c>
      <c r="G359" s="10" t="n">
        <f aca="false">D359*(1-E359)</f>
        <v>163249.3356</v>
      </c>
      <c r="H359" s="10" t="n">
        <f aca="false">G359*F359</f>
        <v>89787.13458</v>
      </c>
      <c r="I359" s="10" t="n">
        <f aca="false">G359-H359</f>
        <v>73462.20102</v>
      </c>
      <c r="J359" s="8" t="n">
        <v>180089.43</v>
      </c>
      <c r="K359" s="9" t="n">
        <v>0.0959</v>
      </c>
      <c r="L359" s="9" t="n">
        <v>0.5345</v>
      </c>
      <c r="M359" s="10" t="n">
        <f aca="false">J359*(1-K359)</f>
        <v>162818.853663</v>
      </c>
      <c r="N359" s="10" t="n">
        <f aca="false">M359*L359</f>
        <v>87026.6772828735</v>
      </c>
      <c r="O359" s="10" t="n">
        <f aca="false">M359-N359</f>
        <v>75792.1763801265</v>
      </c>
      <c r="P359" s="10" t="n">
        <f aca="false">O359-I359</f>
        <v>2329.97536012651</v>
      </c>
      <c r="Q359" s="10" t="n">
        <f aca="false">(J359-D359)*(1-E359)*(1-F359)</f>
        <v>1094.823</v>
      </c>
      <c r="R359" s="10" t="n">
        <f aca="false">J359*(E359-K359)*(1-F359)</f>
        <v>-1288.53987165</v>
      </c>
      <c r="S359" s="10" t="n">
        <f aca="false">M359*(F359-L359)</f>
        <v>2523.69223177651</v>
      </c>
      <c r="T359" s="10" t="n">
        <f aca="false">ROUND(P359-(Q359+R359+S359),2)</f>
        <v>0</v>
      </c>
    </row>
    <row r="360" customFormat="false" ht="15" hidden="false" customHeight="true" outlineLevel="0" collapsed="false">
      <c r="A360" s="7" t="s">
        <v>65</v>
      </c>
      <c r="B360" s="7" t="s">
        <v>73</v>
      </c>
      <c r="C360" s="7" t="s">
        <v>68</v>
      </c>
      <c r="D360" s="8" t="n">
        <v>211144</v>
      </c>
      <c r="E360" s="9" t="n">
        <v>0.08</v>
      </c>
      <c r="F360" s="9" t="n">
        <v>0.55</v>
      </c>
      <c r="G360" s="10" t="n">
        <f aca="false">D360*(1-E360)</f>
        <v>194252.48</v>
      </c>
      <c r="H360" s="10" t="n">
        <f aca="false">G360*F360</f>
        <v>106838.864</v>
      </c>
      <c r="I360" s="10" t="n">
        <f aca="false">G360-H360</f>
        <v>87413.616</v>
      </c>
      <c r="J360" s="8" t="n">
        <v>197168.56</v>
      </c>
      <c r="K360" s="9" t="n">
        <v>0.0841</v>
      </c>
      <c r="L360" s="9" t="n">
        <v>0.5604</v>
      </c>
      <c r="M360" s="10" t="n">
        <f aca="false">J360*(1-K360)</f>
        <v>180586.684104</v>
      </c>
      <c r="N360" s="10" t="n">
        <f aca="false">M360*L360</f>
        <v>101200.777771882</v>
      </c>
      <c r="O360" s="10" t="n">
        <f aca="false">M360-N360</f>
        <v>79385.9063321184</v>
      </c>
      <c r="P360" s="10" t="n">
        <f aca="false">O360-I360</f>
        <v>-8027.70966788159</v>
      </c>
      <c r="Q360" s="10" t="n">
        <f aca="false">(J360-D360)*(1-E360)*(1-F360)</f>
        <v>-5785.83216</v>
      </c>
      <c r="R360" s="10" t="n">
        <f aca="false">J360*(E360-K360)*(1-F360)</f>
        <v>-363.775993199999</v>
      </c>
      <c r="S360" s="10" t="n">
        <f aca="false">M360*(F360-L360)</f>
        <v>-1878.10151468159</v>
      </c>
      <c r="T360" s="10" t="n">
        <f aca="false">ROUND(P360-(Q360+R360+S360),2)</f>
        <v>0</v>
      </c>
    </row>
    <row r="361" customFormat="false" ht="15" hidden="false" customHeight="true" outlineLevel="0" collapsed="false">
      <c r="A361" s="7" t="s">
        <v>66</v>
      </c>
      <c r="B361" s="7" t="s">
        <v>73</v>
      </c>
      <c r="C361" s="7" t="s">
        <v>68</v>
      </c>
      <c r="D361" s="8" t="n">
        <v>199498.48</v>
      </c>
      <c r="E361" s="9" t="n">
        <v>0.08</v>
      </c>
      <c r="F361" s="9" t="n">
        <v>0.55</v>
      </c>
      <c r="G361" s="10" t="n">
        <f aca="false">D361*(1-E361)</f>
        <v>183538.6016</v>
      </c>
      <c r="H361" s="10" t="n">
        <f aca="false">G361*F361</f>
        <v>100946.23088</v>
      </c>
      <c r="I361" s="10" t="n">
        <f aca="false">G361-H361</f>
        <v>82592.37072</v>
      </c>
      <c r="J361" s="8" t="n">
        <v>182001.16</v>
      </c>
      <c r="K361" s="9" t="n">
        <v>0.0739</v>
      </c>
      <c r="L361" s="9" t="n">
        <v>0.5474</v>
      </c>
      <c r="M361" s="10" t="n">
        <f aca="false">J361*(1-K361)</f>
        <v>168551.274276</v>
      </c>
      <c r="N361" s="10" t="n">
        <f aca="false">M361*L361</f>
        <v>92264.9675386824</v>
      </c>
      <c r="O361" s="10" t="n">
        <f aca="false">M361-N361</f>
        <v>76286.3067373176</v>
      </c>
      <c r="P361" s="10" t="n">
        <f aca="false">O361-I361</f>
        <v>-6306.0639826824</v>
      </c>
      <c r="Q361" s="10" t="n">
        <f aca="false">(J361-D361)*(1-E361)*(1-F361)</f>
        <v>-7243.89048</v>
      </c>
      <c r="R361" s="10" t="n">
        <f aca="false">J361*(E361-K361)*(1-F361)</f>
        <v>499.593184200001</v>
      </c>
      <c r="S361" s="10" t="n">
        <f aca="false">M361*(F361-L361)</f>
        <v>438.233313117608</v>
      </c>
      <c r="T361" s="10" t="n">
        <f aca="false">ROUND(P361-(Q361+R361+S361),2)</f>
        <v>0</v>
      </c>
    </row>
    <row r="362" customFormat="false" ht="15" hidden="false" customHeight="true" outlineLevel="0" collapsed="false">
      <c r="A362" s="7" t="s">
        <v>41</v>
      </c>
      <c r="B362" s="7" t="s">
        <v>73</v>
      </c>
      <c r="C362" s="7" t="s">
        <v>69</v>
      </c>
      <c r="D362" s="8" t="n">
        <v>146341.95</v>
      </c>
      <c r="E362" s="9" t="n">
        <v>0.11</v>
      </c>
      <c r="F362" s="9" t="n">
        <v>0.54</v>
      </c>
      <c r="G362" s="10" t="n">
        <f aca="false">D362*(1-E362)</f>
        <v>130244.3355</v>
      </c>
      <c r="H362" s="10" t="n">
        <f aca="false">G362*F362</f>
        <v>70331.94117</v>
      </c>
      <c r="I362" s="10" t="n">
        <f aca="false">G362-H362</f>
        <v>59912.39433</v>
      </c>
      <c r="J362" s="8" t="n">
        <v>140209.06</v>
      </c>
      <c r="K362" s="9" t="n">
        <v>0.1066</v>
      </c>
      <c r="L362" s="9" t="n">
        <v>0.5494</v>
      </c>
      <c r="M362" s="10" t="n">
        <f aca="false">J362*(1-K362)</f>
        <v>125262.774204</v>
      </c>
      <c r="N362" s="10" t="n">
        <f aca="false">M362*L362</f>
        <v>68819.3681476776</v>
      </c>
      <c r="O362" s="10" t="n">
        <f aca="false">M362-N362</f>
        <v>56443.4060563224</v>
      </c>
      <c r="P362" s="10" t="n">
        <f aca="false">O362-I362</f>
        <v>-3468.98827367759</v>
      </c>
      <c r="Q362" s="10" t="n">
        <f aca="false">(J362-D362)*(1-E362)*(1-F362)</f>
        <v>-2510.80516600001</v>
      </c>
      <c r="R362" s="10" t="n">
        <f aca="false">J362*(E362-K362)*(1-F362)</f>
        <v>219.28696984</v>
      </c>
      <c r="S362" s="10" t="n">
        <f aca="false">M362*(F362-L362)</f>
        <v>-1177.4700775176</v>
      </c>
      <c r="T362" s="10" t="n">
        <f aca="false">ROUND(P362-(Q362+R362+S362),2)</f>
        <v>0</v>
      </c>
    </row>
    <row r="363" customFormat="false" ht="15" hidden="false" customHeight="true" outlineLevel="0" collapsed="false">
      <c r="A363" s="7" t="s">
        <v>44</v>
      </c>
      <c r="B363" s="7" t="s">
        <v>73</v>
      </c>
      <c r="C363" s="7" t="s">
        <v>69</v>
      </c>
      <c r="D363" s="8" t="n">
        <v>144234.62</v>
      </c>
      <c r="E363" s="9" t="n">
        <v>0.11</v>
      </c>
      <c r="F363" s="9" t="n">
        <v>0.54</v>
      </c>
      <c r="G363" s="10" t="n">
        <f aca="false">D363*(1-E363)</f>
        <v>128368.8118</v>
      </c>
      <c r="H363" s="10" t="n">
        <f aca="false">G363*F363</f>
        <v>69319.158372</v>
      </c>
      <c r="I363" s="10" t="n">
        <f aca="false">G363-H363</f>
        <v>59049.653428</v>
      </c>
      <c r="J363" s="8" t="n">
        <v>137898.79</v>
      </c>
      <c r="K363" s="9" t="n">
        <v>0.1074</v>
      </c>
      <c r="L363" s="9" t="n">
        <v>0.5513</v>
      </c>
      <c r="M363" s="10" t="n">
        <f aca="false">J363*(1-K363)</f>
        <v>123088.459954</v>
      </c>
      <c r="N363" s="10" t="n">
        <f aca="false">M363*L363</f>
        <v>67858.6679726402</v>
      </c>
      <c r="O363" s="10" t="n">
        <f aca="false">M363-N363</f>
        <v>55229.7919813598</v>
      </c>
      <c r="P363" s="10" t="n">
        <f aca="false">O363-I363</f>
        <v>-3819.86144664018</v>
      </c>
      <c r="Q363" s="10" t="n">
        <f aca="false">(J363-D363)*(1-E363)*(1-F363)</f>
        <v>-2593.88880199999</v>
      </c>
      <c r="R363" s="10" t="n">
        <f aca="false">J363*(E363-K363)*(1-F363)</f>
        <v>164.92695284</v>
      </c>
      <c r="S363" s="10" t="n">
        <f aca="false">M363*(F363-L363)</f>
        <v>-1390.8995974802</v>
      </c>
      <c r="T363" s="10" t="n">
        <f aca="false">ROUND(P363-(Q363+R363+S363),2)</f>
        <v>0</v>
      </c>
    </row>
    <row r="364" customFormat="false" ht="15" hidden="false" customHeight="true" outlineLevel="0" collapsed="false">
      <c r="A364" s="7" t="s">
        <v>45</v>
      </c>
      <c r="B364" s="7" t="s">
        <v>73</v>
      </c>
      <c r="C364" s="7" t="s">
        <v>69</v>
      </c>
      <c r="D364" s="8" t="n">
        <v>156943.61</v>
      </c>
      <c r="E364" s="9" t="n">
        <v>0.11</v>
      </c>
      <c r="F364" s="9" t="n">
        <v>0.54</v>
      </c>
      <c r="G364" s="10" t="n">
        <f aca="false">D364*(1-E364)</f>
        <v>139679.8129</v>
      </c>
      <c r="H364" s="10" t="n">
        <f aca="false">G364*F364</f>
        <v>75427.098966</v>
      </c>
      <c r="I364" s="10" t="n">
        <f aca="false">G364-H364</f>
        <v>64252.713934</v>
      </c>
      <c r="J364" s="8" t="n">
        <v>143366.64</v>
      </c>
      <c r="K364" s="9" t="n">
        <v>0.0997</v>
      </c>
      <c r="L364" s="9" t="n">
        <v>0.5469</v>
      </c>
      <c r="M364" s="10" t="n">
        <f aca="false">J364*(1-K364)</f>
        <v>129072.985992</v>
      </c>
      <c r="N364" s="10" t="n">
        <f aca="false">M364*L364</f>
        <v>70590.0160390248</v>
      </c>
      <c r="O364" s="10" t="n">
        <f aca="false">M364-N364</f>
        <v>58482.9699529752</v>
      </c>
      <c r="P364" s="10" t="n">
        <f aca="false">O364-I364</f>
        <v>-5769.74398102479</v>
      </c>
      <c r="Q364" s="10" t="n">
        <f aca="false">(J364-D364)*(1-E364)*(1-F364)</f>
        <v>-5558.41151799999</v>
      </c>
      <c r="R364" s="10" t="n">
        <f aca="false">J364*(E364-K364)*(1-F364)</f>
        <v>679.27114032</v>
      </c>
      <c r="S364" s="10" t="n">
        <f aca="false">M364*(F364-L364)</f>
        <v>-890.603603344802</v>
      </c>
      <c r="T364" s="10" t="n">
        <f aca="false">ROUND(P364-(Q364+R364+S364),2)</f>
        <v>0</v>
      </c>
    </row>
    <row r="365" customFormat="false" ht="15" hidden="false" customHeight="true" outlineLevel="0" collapsed="false">
      <c r="A365" s="7" t="s">
        <v>46</v>
      </c>
      <c r="B365" s="7" t="s">
        <v>73</v>
      </c>
      <c r="C365" s="7" t="s">
        <v>69</v>
      </c>
      <c r="D365" s="8" t="n">
        <v>163174.52</v>
      </c>
      <c r="E365" s="9" t="n">
        <v>0.11</v>
      </c>
      <c r="F365" s="9" t="n">
        <v>0.54</v>
      </c>
      <c r="G365" s="10" t="n">
        <f aca="false">D365*(1-E365)</f>
        <v>145225.3228</v>
      </c>
      <c r="H365" s="10" t="n">
        <f aca="false">G365*F365</f>
        <v>78421.674312</v>
      </c>
      <c r="I365" s="10" t="n">
        <f aca="false">G365-H365</f>
        <v>66803.648488</v>
      </c>
      <c r="J365" s="8" t="n">
        <v>152120.39</v>
      </c>
      <c r="K365" s="9" t="n">
        <v>0.108</v>
      </c>
      <c r="L365" s="9" t="n">
        <v>0.5347</v>
      </c>
      <c r="M365" s="10" t="n">
        <f aca="false">J365*(1-K365)</f>
        <v>135691.38788</v>
      </c>
      <c r="N365" s="10" t="n">
        <f aca="false">M365*L365</f>
        <v>72554.185099436</v>
      </c>
      <c r="O365" s="10" t="n">
        <f aca="false">M365-N365</f>
        <v>63137.202780564</v>
      </c>
      <c r="P365" s="10" t="n">
        <f aca="false">O365-I365</f>
        <v>-3666.44570743597</v>
      </c>
      <c r="Q365" s="10" t="n">
        <f aca="false">(J365-D365)*(1-E365)*(1-F365)</f>
        <v>-4525.56082199999</v>
      </c>
      <c r="R365" s="10" t="n">
        <f aca="false">J365*(E365-K365)*(1-F365)</f>
        <v>139.9507588</v>
      </c>
      <c r="S365" s="10" t="n">
        <f aca="false">M365*(F365-L365)</f>
        <v>719.164355764011</v>
      </c>
      <c r="T365" s="10" t="n">
        <f aca="false">ROUND(P365-(Q365+R365+S365),2)</f>
        <v>0</v>
      </c>
    </row>
    <row r="366" customFormat="false" ht="15" hidden="false" customHeight="true" outlineLevel="0" collapsed="false">
      <c r="A366" s="7" t="s">
        <v>47</v>
      </c>
      <c r="B366" s="7" t="s">
        <v>73</v>
      </c>
      <c r="C366" s="7" t="s">
        <v>69</v>
      </c>
      <c r="D366" s="8" t="n">
        <v>167805.43</v>
      </c>
      <c r="E366" s="9" t="n">
        <v>0.11</v>
      </c>
      <c r="F366" s="9" t="n">
        <v>0.54</v>
      </c>
      <c r="G366" s="10" t="n">
        <f aca="false">D366*(1-E366)</f>
        <v>149346.8327</v>
      </c>
      <c r="H366" s="10" t="n">
        <f aca="false">G366*F366</f>
        <v>80647.289658</v>
      </c>
      <c r="I366" s="10" t="n">
        <f aca="false">G366-H366</f>
        <v>68699.543042</v>
      </c>
      <c r="J366" s="8" t="n">
        <v>159538.6</v>
      </c>
      <c r="K366" s="9" t="n">
        <v>0.1095</v>
      </c>
      <c r="L366" s="9" t="n">
        <v>0.5505</v>
      </c>
      <c r="M366" s="10" t="n">
        <f aca="false">J366*(1-K366)</f>
        <v>142069.1233</v>
      </c>
      <c r="N366" s="10" t="n">
        <f aca="false">M366*L366</f>
        <v>78209.05237665</v>
      </c>
      <c r="O366" s="10" t="n">
        <f aca="false">M366-N366</f>
        <v>63860.07092335</v>
      </c>
      <c r="P366" s="10" t="n">
        <f aca="false">O366-I366</f>
        <v>-4839.47211864998</v>
      </c>
      <c r="Q366" s="10" t="n">
        <f aca="false">(J366-D366)*(1-E366)*(1-F366)</f>
        <v>-3384.44020199999</v>
      </c>
      <c r="R366" s="10" t="n">
        <f aca="false">J366*(E366-K366)*(1-F366)</f>
        <v>36.693878</v>
      </c>
      <c r="S366" s="10" t="n">
        <f aca="false">M366*(F366-L366)</f>
        <v>-1491.72579464999</v>
      </c>
      <c r="T366" s="10" t="n">
        <f aca="false">ROUND(P366-(Q366+R366+S366),2)</f>
        <v>0</v>
      </c>
    </row>
    <row r="367" customFormat="false" ht="15" hidden="false" customHeight="true" outlineLevel="0" collapsed="false">
      <c r="A367" s="7" t="s">
        <v>48</v>
      </c>
      <c r="B367" s="7" t="s">
        <v>73</v>
      </c>
      <c r="C367" s="7" t="s">
        <v>69</v>
      </c>
      <c r="D367" s="8" t="n">
        <v>172488.37</v>
      </c>
      <c r="E367" s="9" t="n">
        <v>0.11</v>
      </c>
      <c r="F367" s="9" t="n">
        <v>0.54</v>
      </c>
      <c r="G367" s="10" t="n">
        <f aca="false">D367*(1-E367)</f>
        <v>153514.6493</v>
      </c>
      <c r="H367" s="10" t="n">
        <f aca="false">G367*F367</f>
        <v>82897.910622</v>
      </c>
      <c r="I367" s="10" t="n">
        <f aca="false">G367-H367</f>
        <v>70616.738678</v>
      </c>
      <c r="J367" s="8" t="n">
        <v>174793.93</v>
      </c>
      <c r="K367" s="9" t="n">
        <v>0.1161</v>
      </c>
      <c r="L367" s="9" t="n">
        <v>0.548</v>
      </c>
      <c r="M367" s="10" t="n">
        <f aca="false">J367*(1-K367)</f>
        <v>154500.354727</v>
      </c>
      <c r="N367" s="10" t="n">
        <f aca="false">M367*L367</f>
        <v>84666.194390396</v>
      </c>
      <c r="O367" s="10" t="n">
        <f aca="false">M367-N367</f>
        <v>69834.160336604</v>
      </c>
      <c r="P367" s="10" t="n">
        <f aca="false">O367-I367</f>
        <v>-782.578341396002</v>
      </c>
      <c r="Q367" s="10" t="n">
        <f aca="false">(J367-D367)*(1-E367)*(1-F367)</f>
        <v>943.896263999999</v>
      </c>
      <c r="R367" s="10" t="n">
        <f aca="false">J367*(E367-K367)*(1-F367)</f>
        <v>-490.47176758</v>
      </c>
      <c r="S367" s="10" t="n">
        <f aca="false">M367*(F367-L367)</f>
        <v>-1236.002837816</v>
      </c>
      <c r="T367" s="10" t="n">
        <f aca="false">ROUND(P367-(Q367+R367+S367),2)</f>
        <v>0</v>
      </c>
    </row>
    <row r="368" customFormat="false" ht="15" hidden="false" customHeight="true" outlineLevel="0" collapsed="false">
      <c r="A368" s="7" t="s">
        <v>49</v>
      </c>
      <c r="B368" s="7" t="s">
        <v>73</v>
      </c>
      <c r="C368" s="7" t="s">
        <v>69</v>
      </c>
      <c r="D368" s="8" t="n">
        <v>170407.07</v>
      </c>
      <c r="E368" s="9" t="n">
        <v>0.11</v>
      </c>
      <c r="F368" s="9" t="n">
        <v>0.54</v>
      </c>
      <c r="G368" s="10" t="n">
        <f aca="false">D368*(1-E368)</f>
        <v>151662.2923</v>
      </c>
      <c r="H368" s="10" t="n">
        <f aca="false">G368*F368</f>
        <v>81897.637842</v>
      </c>
      <c r="I368" s="10" t="n">
        <f aca="false">G368-H368</f>
        <v>69764.654458</v>
      </c>
      <c r="J368" s="8" t="n">
        <v>173199.69</v>
      </c>
      <c r="K368" s="9" t="n">
        <v>0.0965</v>
      </c>
      <c r="L368" s="9" t="n">
        <v>0.5519</v>
      </c>
      <c r="M368" s="10" t="n">
        <f aca="false">J368*(1-K368)</f>
        <v>156485.919915</v>
      </c>
      <c r="N368" s="10" t="n">
        <f aca="false">M368*L368</f>
        <v>86364.5792010885</v>
      </c>
      <c r="O368" s="10" t="n">
        <f aca="false">M368-N368</f>
        <v>70121.3407139115</v>
      </c>
      <c r="P368" s="10" t="n">
        <f aca="false">O368-I368</f>
        <v>356.686255911525</v>
      </c>
      <c r="Q368" s="10" t="n">
        <f aca="false">(J368-D368)*(1-E368)*(1-F368)</f>
        <v>1143.298628</v>
      </c>
      <c r="R368" s="10" t="n">
        <f aca="false">J368*(E368-K368)*(1-F368)</f>
        <v>1075.5700749</v>
      </c>
      <c r="S368" s="10" t="n">
        <f aca="false">M368*(F368-L368)</f>
        <v>-1862.18244698849</v>
      </c>
      <c r="T368" s="10" t="n">
        <f aca="false">ROUND(P368-(Q368+R368+S368),2)</f>
        <v>0</v>
      </c>
    </row>
    <row r="369" customFormat="false" ht="15" hidden="false" customHeight="true" outlineLevel="0" collapsed="false">
      <c r="A369" s="7" t="s">
        <v>50</v>
      </c>
      <c r="B369" s="7" t="s">
        <v>73</v>
      </c>
      <c r="C369" s="7" t="s">
        <v>69</v>
      </c>
      <c r="D369" s="8" t="n">
        <v>176859.12</v>
      </c>
      <c r="E369" s="9" t="n">
        <v>0.11</v>
      </c>
      <c r="F369" s="9" t="n">
        <v>0.54</v>
      </c>
      <c r="G369" s="10" t="n">
        <f aca="false">D369*(1-E369)</f>
        <v>157404.6168</v>
      </c>
      <c r="H369" s="10" t="n">
        <f aca="false">G369*F369</f>
        <v>84998.493072</v>
      </c>
      <c r="I369" s="10" t="n">
        <f aca="false">G369-H369</f>
        <v>72406.123728</v>
      </c>
      <c r="J369" s="8" t="n">
        <v>184969.61</v>
      </c>
      <c r="K369" s="9" t="n">
        <v>0.1143</v>
      </c>
      <c r="L369" s="9" t="n">
        <v>0.5401</v>
      </c>
      <c r="M369" s="10" t="n">
        <f aca="false">J369*(1-K369)</f>
        <v>163827.583577</v>
      </c>
      <c r="N369" s="10" t="n">
        <f aca="false">M369*L369</f>
        <v>88483.2778899377</v>
      </c>
      <c r="O369" s="10" t="n">
        <f aca="false">M369-N369</f>
        <v>75344.3056870623</v>
      </c>
      <c r="P369" s="10" t="n">
        <f aca="false">O369-I369</f>
        <v>2938.18195906229</v>
      </c>
      <c r="Q369" s="10" t="n">
        <f aca="false">(J369-D369)*(1-E369)*(1-F369)</f>
        <v>3320.434606</v>
      </c>
      <c r="R369" s="10" t="n">
        <f aca="false">J369*(E369-K369)*(1-F369)</f>
        <v>-365.86988858</v>
      </c>
      <c r="S369" s="10" t="n">
        <f aca="false">M369*(F369-L369)</f>
        <v>-16.3827583576982</v>
      </c>
      <c r="T369" s="10" t="n">
        <f aca="false">ROUND(P369-(Q369+R369+S369),2)</f>
        <v>0</v>
      </c>
    </row>
    <row r="370" customFormat="false" ht="15" hidden="false" customHeight="true" outlineLevel="0" collapsed="false">
      <c r="A370" s="7" t="s">
        <v>51</v>
      </c>
      <c r="B370" s="7" t="s">
        <v>73</v>
      </c>
      <c r="C370" s="7" t="s">
        <v>69</v>
      </c>
      <c r="D370" s="8" t="n">
        <v>181659.14</v>
      </c>
      <c r="E370" s="9" t="n">
        <v>0.11</v>
      </c>
      <c r="F370" s="9" t="n">
        <v>0.54</v>
      </c>
      <c r="G370" s="10" t="n">
        <f aca="false">D370*(1-E370)</f>
        <v>161676.6346</v>
      </c>
      <c r="H370" s="10" t="n">
        <f aca="false">G370*F370</f>
        <v>87305.382684</v>
      </c>
      <c r="I370" s="10" t="n">
        <f aca="false">G370-H370</f>
        <v>74371.251916</v>
      </c>
      <c r="J370" s="8" t="n">
        <v>181863.79</v>
      </c>
      <c r="K370" s="9" t="n">
        <v>0.1182</v>
      </c>
      <c r="L370" s="9" t="n">
        <v>0.552</v>
      </c>
      <c r="M370" s="10" t="n">
        <f aca="false">J370*(1-K370)</f>
        <v>160367.490022</v>
      </c>
      <c r="N370" s="10" t="n">
        <f aca="false">M370*L370</f>
        <v>88522.854492144</v>
      </c>
      <c r="O370" s="10" t="n">
        <f aca="false">M370-N370</f>
        <v>71844.635529856</v>
      </c>
      <c r="P370" s="10" t="n">
        <f aca="false">O370-I370</f>
        <v>-2526.61638614401</v>
      </c>
      <c r="Q370" s="10" t="n">
        <f aca="false">(J370-D370)*(1-E370)*(1-F370)</f>
        <v>83.7837099999976</v>
      </c>
      <c r="R370" s="10" t="n">
        <f aca="false">J370*(E370-K370)*(1-F370)</f>
        <v>-685.99021588</v>
      </c>
      <c r="S370" s="10" t="n">
        <f aca="false">M370*(F370-L370)</f>
        <v>-1924.409880264</v>
      </c>
      <c r="T370" s="10" t="n">
        <f aca="false">ROUND(P370-(Q370+R370+S370),2)</f>
        <v>-0</v>
      </c>
    </row>
    <row r="371" customFormat="false" ht="15" hidden="false" customHeight="true" outlineLevel="0" collapsed="false">
      <c r="A371" s="7" t="s">
        <v>52</v>
      </c>
      <c r="B371" s="7" t="s">
        <v>73</v>
      </c>
      <c r="C371" s="7" t="s">
        <v>69</v>
      </c>
      <c r="D371" s="8" t="n">
        <v>191740.47</v>
      </c>
      <c r="E371" s="9" t="n">
        <v>0.11</v>
      </c>
      <c r="F371" s="9" t="n">
        <v>0.54</v>
      </c>
      <c r="G371" s="10" t="n">
        <f aca="false">D371*(1-E371)</f>
        <v>170649.0183</v>
      </c>
      <c r="H371" s="10" t="n">
        <f aca="false">G371*F371</f>
        <v>92150.469882</v>
      </c>
      <c r="I371" s="10" t="n">
        <f aca="false">G371-H371</f>
        <v>78498.548418</v>
      </c>
      <c r="J371" s="8" t="n">
        <v>184543.9</v>
      </c>
      <c r="K371" s="9" t="n">
        <v>0.1178</v>
      </c>
      <c r="L371" s="9" t="n">
        <v>0.5287</v>
      </c>
      <c r="M371" s="10" t="n">
        <f aca="false">J371*(1-K371)</f>
        <v>162804.62858</v>
      </c>
      <c r="N371" s="10" t="n">
        <f aca="false">M371*L371</f>
        <v>86074.807130246</v>
      </c>
      <c r="O371" s="10" t="n">
        <f aca="false">M371-N371</f>
        <v>76729.821449754</v>
      </c>
      <c r="P371" s="10" t="n">
        <f aca="false">O371-I371</f>
        <v>-1768.72696824599</v>
      </c>
      <c r="Q371" s="10" t="n">
        <f aca="false">(J371-D371)*(1-E371)*(1-F371)</f>
        <v>-2946.275758</v>
      </c>
      <c r="R371" s="10" t="n">
        <f aca="false">J371*(E371-K371)*(1-F371)</f>
        <v>-662.1435132</v>
      </c>
      <c r="S371" s="10" t="n">
        <f aca="false">M371*(F371-L371)</f>
        <v>1839.69230295401</v>
      </c>
      <c r="T371" s="10" t="n">
        <f aca="false">ROUND(P371-(Q371+R371+S371),2)</f>
        <v>0</v>
      </c>
    </row>
    <row r="372" customFormat="false" ht="15" hidden="false" customHeight="true" outlineLevel="0" collapsed="false">
      <c r="A372" s="7" t="s">
        <v>53</v>
      </c>
      <c r="B372" s="7" t="s">
        <v>73</v>
      </c>
      <c r="C372" s="7" t="s">
        <v>69</v>
      </c>
      <c r="D372" s="8" t="n">
        <v>228293.44</v>
      </c>
      <c r="E372" s="9" t="n">
        <v>0.11</v>
      </c>
      <c r="F372" s="9" t="n">
        <v>0.54</v>
      </c>
      <c r="G372" s="10" t="n">
        <f aca="false">D372*(1-E372)</f>
        <v>203181.1616</v>
      </c>
      <c r="H372" s="10" t="n">
        <f aca="false">G372*F372</f>
        <v>109717.827264</v>
      </c>
      <c r="I372" s="10" t="n">
        <f aca="false">G372-H372</f>
        <v>93463.334336</v>
      </c>
      <c r="J372" s="8" t="n">
        <v>215897.49</v>
      </c>
      <c r="K372" s="9" t="n">
        <v>0.0943</v>
      </c>
      <c r="L372" s="9" t="n">
        <v>0.5362</v>
      </c>
      <c r="M372" s="10" t="n">
        <f aca="false">J372*(1-K372)</f>
        <v>195538.356693</v>
      </c>
      <c r="N372" s="10" t="n">
        <f aca="false">M372*L372</f>
        <v>104847.666858787</v>
      </c>
      <c r="O372" s="10" t="n">
        <f aca="false">M372-N372</f>
        <v>90690.6898342134</v>
      </c>
      <c r="P372" s="10" t="n">
        <f aca="false">O372-I372</f>
        <v>-2772.64450178659</v>
      </c>
      <c r="Q372" s="10" t="n">
        <f aca="false">(J372-D372)*(1-E372)*(1-F372)</f>
        <v>-5074.90193</v>
      </c>
      <c r="R372" s="10" t="n">
        <f aca="false">J372*(E372-K372)*(1-F372)</f>
        <v>1559.21167278</v>
      </c>
      <c r="S372" s="10" t="n">
        <f aca="false">M372*(F372-L372)</f>
        <v>743.045755433405</v>
      </c>
      <c r="T372" s="10" t="n">
        <f aca="false">ROUND(P372-(Q372+R372+S372),2)</f>
        <v>0</v>
      </c>
    </row>
    <row r="373" customFormat="false" ht="15" hidden="false" customHeight="true" outlineLevel="0" collapsed="false">
      <c r="A373" s="7" t="s">
        <v>54</v>
      </c>
      <c r="B373" s="7" t="s">
        <v>73</v>
      </c>
      <c r="C373" s="7" t="s">
        <v>69</v>
      </c>
      <c r="D373" s="8" t="n">
        <v>215831.61</v>
      </c>
      <c r="E373" s="9" t="n">
        <v>0.11</v>
      </c>
      <c r="F373" s="9" t="n">
        <v>0.54</v>
      </c>
      <c r="G373" s="10" t="n">
        <f aca="false">D373*(1-E373)</f>
        <v>192090.1329</v>
      </c>
      <c r="H373" s="10" t="n">
        <f aca="false">G373*F373</f>
        <v>103728.671766</v>
      </c>
      <c r="I373" s="10" t="n">
        <f aca="false">G373-H373</f>
        <v>88361.461134</v>
      </c>
      <c r="J373" s="8" t="n">
        <v>222593.4</v>
      </c>
      <c r="K373" s="9" t="n">
        <v>0.1096</v>
      </c>
      <c r="L373" s="9" t="n">
        <v>0.532</v>
      </c>
      <c r="M373" s="10" t="n">
        <f aca="false">J373*(1-K373)</f>
        <v>198197.16336</v>
      </c>
      <c r="N373" s="10" t="n">
        <f aca="false">M373*L373</f>
        <v>105440.89090752</v>
      </c>
      <c r="O373" s="10" t="n">
        <f aca="false">M373-N373</f>
        <v>92756.27245248</v>
      </c>
      <c r="P373" s="10" t="n">
        <f aca="false">O373-I373</f>
        <v>4394.81131847999</v>
      </c>
      <c r="Q373" s="10" t="n">
        <f aca="false">(J373-D373)*(1-E373)*(1-F373)</f>
        <v>2768.276826</v>
      </c>
      <c r="R373" s="10" t="n">
        <f aca="false">J373*(E373-K373)*(1-F373)</f>
        <v>40.9571855999998</v>
      </c>
      <c r="S373" s="10" t="n">
        <f aca="false">M373*(F373-L373)</f>
        <v>1585.57730688</v>
      </c>
      <c r="T373" s="10" t="n">
        <f aca="false">ROUND(P373-(Q373+R373+S373),2)</f>
        <v>-0</v>
      </c>
    </row>
    <row r="374" customFormat="false" ht="15" hidden="false" customHeight="true" outlineLevel="0" collapsed="false">
      <c r="A374" s="7" t="s">
        <v>55</v>
      </c>
      <c r="B374" s="7" t="s">
        <v>73</v>
      </c>
      <c r="C374" s="7" t="s">
        <v>69</v>
      </c>
      <c r="D374" s="8" t="n">
        <v>160390.77</v>
      </c>
      <c r="E374" s="9" t="n">
        <v>0.11</v>
      </c>
      <c r="F374" s="9" t="n">
        <v>0.54</v>
      </c>
      <c r="G374" s="10" t="n">
        <f aca="false">D374*(1-E374)</f>
        <v>142747.7853</v>
      </c>
      <c r="H374" s="10" t="n">
        <f aca="false">G374*F374</f>
        <v>77083.804062</v>
      </c>
      <c r="I374" s="10" t="n">
        <f aca="false">G374-H374</f>
        <v>65663.981238</v>
      </c>
      <c r="J374" s="8" t="n">
        <v>159953.97</v>
      </c>
      <c r="K374" s="9" t="n">
        <v>0.1013</v>
      </c>
      <c r="L374" s="9" t="n">
        <v>0.5325</v>
      </c>
      <c r="M374" s="10" t="n">
        <f aca="false">J374*(1-K374)</f>
        <v>143750.632839</v>
      </c>
      <c r="N374" s="10" t="n">
        <f aca="false">M374*L374</f>
        <v>76547.2119867675</v>
      </c>
      <c r="O374" s="10" t="n">
        <f aca="false">M374-N374</f>
        <v>67203.4208522325</v>
      </c>
      <c r="P374" s="10" t="n">
        <f aca="false">O374-I374</f>
        <v>1539.43961423251</v>
      </c>
      <c r="Q374" s="10" t="n">
        <f aca="false">(J374-D374)*(1-E374)*(1-F374)</f>
        <v>-178.825919999995</v>
      </c>
      <c r="R374" s="10" t="n">
        <f aca="false">J374*(E374-K374)*(1-F374)</f>
        <v>640.13578794</v>
      </c>
      <c r="S374" s="10" t="n">
        <f aca="false">M374*(F374-L374)</f>
        <v>1078.12974629251</v>
      </c>
      <c r="T374" s="10" t="n">
        <f aca="false">ROUND(P374-(Q374+R374+S374),2)</f>
        <v>0</v>
      </c>
    </row>
    <row r="375" customFormat="false" ht="15" hidden="false" customHeight="true" outlineLevel="0" collapsed="false">
      <c r="A375" s="7" t="s">
        <v>56</v>
      </c>
      <c r="B375" s="7" t="s">
        <v>73</v>
      </c>
      <c r="C375" s="7" t="s">
        <v>69</v>
      </c>
      <c r="D375" s="8" t="n">
        <v>157971.25</v>
      </c>
      <c r="E375" s="9" t="n">
        <v>0.11</v>
      </c>
      <c r="F375" s="9" t="n">
        <v>0.54</v>
      </c>
      <c r="G375" s="10" t="n">
        <f aca="false">D375*(1-E375)</f>
        <v>140594.4125</v>
      </c>
      <c r="H375" s="10" t="n">
        <f aca="false">G375*F375</f>
        <v>75920.98275</v>
      </c>
      <c r="I375" s="10" t="n">
        <f aca="false">G375-H375</f>
        <v>64673.42975</v>
      </c>
      <c r="J375" s="8" t="n">
        <v>163081.53</v>
      </c>
      <c r="K375" s="9" t="n">
        <v>0.145</v>
      </c>
      <c r="L375" s="9" t="n">
        <v>0.5436</v>
      </c>
      <c r="M375" s="10" t="n">
        <f aca="false">J375*(1-K375)</f>
        <v>139434.70815</v>
      </c>
      <c r="N375" s="10" t="n">
        <f aca="false">M375*L375</f>
        <v>75796.70735034</v>
      </c>
      <c r="O375" s="10" t="n">
        <f aca="false">M375-N375</f>
        <v>63638.00079966</v>
      </c>
      <c r="P375" s="10" t="n">
        <f aca="false">O375-I375</f>
        <v>-1035.42895033999</v>
      </c>
      <c r="Q375" s="10" t="n">
        <f aca="false">(J375-D375)*(1-E375)*(1-F375)</f>
        <v>2092.148632</v>
      </c>
      <c r="R375" s="10" t="n">
        <f aca="false">J375*(E375-K375)*(1-F375)</f>
        <v>-2625.612633</v>
      </c>
      <c r="S375" s="10" t="n">
        <f aca="false">M375*(F375-L375)</f>
        <v>-501.964949339991</v>
      </c>
      <c r="T375" s="10" t="n">
        <f aca="false">ROUND(P375-(Q375+R375+S375),2)</f>
        <v>0</v>
      </c>
    </row>
    <row r="376" customFormat="false" ht="15" hidden="false" customHeight="true" outlineLevel="0" collapsed="false">
      <c r="A376" s="7" t="s">
        <v>57</v>
      </c>
      <c r="B376" s="7" t="s">
        <v>73</v>
      </c>
      <c r="C376" s="7" t="s">
        <v>69</v>
      </c>
      <c r="D376" s="8" t="n">
        <v>171772.93</v>
      </c>
      <c r="E376" s="9" t="n">
        <v>0.11</v>
      </c>
      <c r="F376" s="9" t="n">
        <v>0.54</v>
      </c>
      <c r="G376" s="10" t="n">
        <f aca="false">D376*(1-E376)</f>
        <v>152877.9077</v>
      </c>
      <c r="H376" s="10" t="n">
        <f aca="false">G376*F376</f>
        <v>82554.070158</v>
      </c>
      <c r="I376" s="10" t="n">
        <f aca="false">G376-H376</f>
        <v>70323.837542</v>
      </c>
      <c r="J376" s="8" t="n">
        <v>165324.12</v>
      </c>
      <c r="K376" s="9" t="n">
        <v>0.1186</v>
      </c>
      <c r="L376" s="9" t="n">
        <v>0.5437</v>
      </c>
      <c r="M376" s="10" t="n">
        <f aca="false">J376*(1-K376)</f>
        <v>145716.679368</v>
      </c>
      <c r="N376" s="10" t="n">
        <f aca="false">M376*L376</f>
        <v>79226.1585723816</v>
      </c>
      <c r="O376" s="10" t="n">
        <f aca="false">M376-N376</f>
        <v>66490.5207956184</v>
      </c>
      <c r="P376" s="10" t="n">
        <f aca="false">O376-I376</f>
        <v>-3833.31674638158</v>
      </c>
      <c r="Q376" s="10" t="n">
        <f aca="false">(J376-D376)*(1-E376)*(1-F376)</f>
        <v>-2640.142814</v>
      </c>
      <c r="R376" s="10" t="n">
        <f aca="false">J376*(E376-K376)*(1-F376)</f>
        <v>-654.02221872</v>
      </c>
      <c r="S376" s="10" t="n">
        <f aca="false">M376*(F376-L376)</f>
        <v>-539.151713661589</v>
      </c>
      <c r="T376" s="10" t="n">
        <f aca="false">ROUND(P376-(Q376+R376+S376),2)</f>
        <v>0</v>
      </c>
    </row>
    <row r="377" customFormat="false" ht="15" hidden="false" customHeight="true" outlineLevel="0" collapsed="false">
      <c r="A377" s="7" t="s">
        <v>58</v>
      </c>
      <c r="B377" s="7" t="s">
        <v>73</v>
      </c>
      <c r="C377" s="7" t="s">
        <v>69</v>
      </c>
      <c r="D377" s="8" t="n">
        <v>178472.13</v>
      </c>
      <c r="E377" s="9" t="n">
        <v>0.11</v>
      </c>
      <c r="F377" s="9" t="n">
        <v>0.54</v>
      </c>
      <c r="G377" s="10" t="n">
        <f aca="false">D377*(1-E377)</f>
        <v>158840.1957</v>
      </c>
      <c r="H377" s="10" t="n">
        <f aca="false">G377*F377</f>
        <v>85773.705678</v>
      </c>
      <c r="I377" s="10" t="n">
        <f aca="false">G377-H377</f>
        <v>73066.490022</v>
      </c>
      <c r="J377" s="8" t="n">
        <v>168282.95</v>
      </c>
      <c r="K377" s="9" t="n">
        <v>0.1048</v>
      </c>
      <c r="L377" s="9" t="n">
        <v>0.5405</v>
      </c>
      <c r="M377" s="10" t="n">
        <f aca="false">J377*(1-K377)</f>
        <v>150646.89684</v>
      </c>
      <c r="N377" s="10" t="n">
        <f aca="false">M377*L377</f>
        <v>81424.64774202</v>
      </c>
      <c r="O377" s="10" t="n">
        <f aca="false">M377-N377</f>
        <v>69222.24909798</v>
      </c>
      <c r="P377" s="10" t="n">
        <f aca="false">O377-I377</f>
        <v>-3844.24092401999</v>
      </c>
      <c r="Q377" s="10" t="n">
        <f aca="false">(J377-D377)*(1-E377)*(1-F377)</f>
        <v>-4171.450292</v>
      </c>
      <c r="R377" s="10" t="n">
        <f aca="false">J377*(E377-K377)*(1-F377)</f>
        <v>402.5328164</v>
      </c>
      <c r="S377" s="10" t="n">
        <f aca="false">M377*(F377-L377)</f>
        <v>-75.3234484199917</v>
      </c>
      <c r="T377" s="10" t="n">
        <f aca="false">ROUND(P377-(Q377+R377+S377),2)</f>
        <v>0</v>
      </c>
    </row>
    <row r="378" customFormat="false" ht="15" hidden="false" customHeight="true" outlineLevel="0" collapsed="false">
      <c r="A378" s="7" t="s">
        <v>59</v>
      </c>
      <c r="B378" s="7" t="s">
        <v>73</v>
      </c>
      <c r="C378" s="7" t="s">
        <v>69</v>
      </c>
      <c r="D378" s="8" t="n">
        <v>183415.24</v>
      </c>
      <c r="E378" s="9" t="n">
        <v>0.11</v>
      </c>
      <c r="F378" s="9" t="n">
        <v>0.54</v>
      </c>
      <c r="G378" s="10" t="n">
        <f aca="false">D378*(1-E378)</f>
        <v>163239.5636</v>
      </c>
      <c r="H378" s="10" t="n">
        <f aca="false">G378*F378</f>
        <v>88149.364344</v>
      </c>
      <c r="I378" s="10" t="n">
        <f aca="false">G378-H378</f>
        <v>75090.199256</v>
      </c>
      <c r="J378" s="8" t="n">
        <v>180342.43</v>
      </c>
      <c r="K378" s="9" t="n">
        <v>0.1009</v>
      </c>
      <c r="L378" s="9" t="n">
        <v>0.5415</v>
      </c>
      <c r="M378" s="10" t="n">
        <f aca="false">J378*(1-K378)</f>
        <v>162145.878813</v>
      </c>
      <c r="N378" s="10" t="n">
        <f aca="false">M378*L378</f>
        <v>87801.9933772395</v>
      </c>
      <c r="O378" s="10" t="n">
        <f aca="false">M378-N378</f>
        <v>74343.8854357605</v>
      </c>
      <c r="P378" s="10" t="n">
        <f aca="false">O378-I378</f>
        <v>-746.313820239491</v>
      </c>
      <c r="Q378" s="10" t="n">
        <f aca="false">(J378-D378)*(1-E378)*(1-F378)</f>
        <v>-1258.008414</v>
      </c>
      <c r="R378" s="10" t="n">
        <f aca="false">J378*(E378-K378)*(1-F378)</f>
        <v>754.91341198</v>
      </c>
      <c r="S378" s="10" t="n">
        <f aca="false">M378*(F378-L378)</f>
        <v>-243.218818219491</v>
      </c>
      <c r="T378" s="10" t="n">
        <f aca="false">ROUND(P378-(Q378+R378+S378),2)</f>
        <v>0</v>
      </c>
    </row>
    <row r="379" customFormat="false" ht="15" hidden="false" customHeight="true" outlineLevel="0" collapsed="false">
      <c r="A379" s="7" t="s">
        <v>60</v>
      </c>
      <c r="B379" s="7" t="s">
        <v>73</v>
      </c>
      <c r="C379" s="7" t="s">
        <v>69</v>
      </c>
      <c r="D379" s="8" t="n">
        <v>188410.38</v>
      </c>
      <c r="E379" s="9" t="n">
        <v>0.11</v>
      </c>
      <c r="F379" s="9" t="n">
        <v>0.54</v>
      </c>
      <c r="G379" s="10" t="n">
        <f aca="false">D379*(1-E379)</f>
        <v>167685.2382</v>
      </c>
      <c r="H379" s="10" t="n">
        <f aca="false">G379*F379</f>
        <v>90550.028628</v>
      </c>
      <c r="I379" s="10" t="n">
        <f aca="false">G379-H379</f>
        <v>77135.209572</v>
      </c>
      <c r="J379" s="8" t="n">
        <v>214705.33</v>
      </c>
      <c r="K379" s="9" t="n">
        <v>0.1022</v>
      </c>
      <c r="L379" s="9" t="n">
        <v>0.5338</v>
      </c>
      <c r="M379" s="10" t="n">
        <f aca="false">J379*(1-K379)</f>
        <v>192762.445274</v>
      </c>
      <c r="N379" s="10" t="n">
        <f aca="false">M379*L379</f>
        <v>102896.593287261</v>
      </c>
      <c r="O379" s="10" t="n">
        <f aca="false">M379-N379</f>
        <v>89865.8519867388</v>
      </c>
      <c r="P379" s="10" t="n">
        <f aca="false">O379-I379</f>
        <v>12730.6424147388</v>
      </c>
      <c r="Q379" s="10" t="n">
        <f aca="false">(J379-D379)*(1-E379)*(1-F379)</f>
        <v>10765.15253</v>
      </c>
      <c r="R379" s="10" t="n">
        <f aca="false">J379*(E379-K379)*(1-F379)</f>
        <v>770.36272404</v>
      </c>
      <c r="S379" s="10" t="n">
        <f aca="false">M379*(F379-L379)</f>
        <v>1195.1271606988</v>
      </c>
      <c r="T379" s="10" t="n">
        <f aca="false">ROUND(P379-(Q379+R379+S379),2)</f>
        <v>0</v>
      </c>
    </row>
    <row r="380" customFormat="false" ht="15" hidden="false" customHeight="true" outlineLevel="0" collapsed="false">
      <c r="A380" s="7" t="s">
        <v>61</v>
      </c>
      <c r="B380" s="7" t="s">
        <v>73</v>
      </c>
      <c r="C380" s="7" t="s">
        <v>69</v>
      </c>
      <c r="D380" s="8" t="n">
        <v>186016.87</v>
      </c>
      <c r="E380" s="9" t="n">
        <v>0.11</v>
      </c>
      <c r="F380" s="9" t="n">
        <v>0.54</v>
      </c>
      <c r="G380" s="10" t="n">
        <f aca="false">D380*(1-E380)</f>
        <v>165555.0143</v>
      </c>
      <c r="H380" s="10" t="n">
        <f aca="false">G380*F380</f>
        <v>89399.707722</v>
      </c>
      <c r="I380" s="10" t="n">
        <f aca="false">G380-H380</f>
        <v>76155.306578</v>
      </c>
      <c r="J380" s="8" t="n">
        <v>188072.55</v>
      </c>
      <c r="K380" s="9" t="n">
        <v>0.1129</v>
      </c>
      <c r="L380" s="9" t="n">
        <v>0.5467</v>
      </c>
      <c r="M380" s="10" t="n">
        <f aca="false">J380*(1-K380)</f>
        <v>166839.159105</v>
      </c>
      <c r="N380" s="10" t="n">
        <f aca="false">M380*L380</f>
        <v>91210.9682827035</v>
      </c>
      <c r="O380" s="10" t="n">
        <f aca="false">M380-N380</f>
        <v>75628.1908222965</v>
      </c>
      <c r="P380" s="10" t="n">
        <f aca="false">O380-I380</f>
        <v>-527.115755703504</v>
      </c>
      <c r="Q380" s="10" t="n">
        <f aca="false">(J380-D380)*(1-E380)*(1-F380)</f>
        <v>841.595391999997</v>
      </c>
      <c r="R380" s="10" t="n">
        <f aca="false">J380*(E380-K380)*(1-F380)</f>
        <v>-250.8887817</v>
      </c>
      <c r="S380" s="10" t="n">
        <f aca="false">M380*(F380-L380)</f>
        <v>-1117.82236600349</v>
      </c>
      <c r="T380" s="10" t="n">
        <f aca="false">ROUND(P380-(Q380+R380+S380),2)</f>
        <v>-0</v>
      </c>
    </row>
    <row r="381" customFormat="false" ht="15" hidden="false" customHeight="true" outlineLevel="0" collapsed="false">
      <c r="A381" s="7" t="s">
        <v>62</v>
      </c>
      <c r="B381" s="7" t="s">
        <v>73</v>
      </c>
      <c r="C381" s="7" t="s">
        <v>69</v>
      </c>
      <c r="D381" s="8" t="n">
        <v>192937.22</v>
      </c>
      <c r="E381" s="9" t="n">
        <v>0.11</v>
      </c>
      <c r="F381" s="9" t="n">
        <v>0.54</v>
      </c>
      <c r="G381" s="10" t="n">
        <f aca="false">D381*(1-E381)</f>
        <v>171714.1258</v>
      </c>
      <c r="H381" s="10" t="n">
        <f aca="false">G381*F381</f>
        <v>92725.627932</v>
      </c>
      <c r="I381" s="10" t="n">
        <f aca="false">G381-H381</f>
        <v>78988.497868</v>
      </c>
      <c r="J381" s="8" t="n">
        <v>192657.53</v>
      </c>
      <c r="K381" s="9" t="n">
        <v>0.1157</v>
      </c>
      <c r="L381" s="9" t="n">
        <v>0.5475</v>
      </c>
      <c r="M381" s="10" t="n">
        <f aca="false">J381*(1-K381)</f>
        <v>170367.053779</v>
      </c>
      <c r="N381" s="10" t="n">
        <f aca="false">M381*L381</f>
        <v>93275.9619440025</v>
      </c>
      <c r="O381" s="10" t="n">
        <f aca="false">M381-N381</f>
        <v>77091.0918349975</v>
      </c>
      <c r="P381" s="10" t="n">
        <f aca="false">O381-I381</f>
        <v>-1897.4060330025</v>
      </c>
      <c r="Q381" s="10" t="n">
        <f aca="false">(J381-D381)*(1-E381)*(1-F381)</f>
        <v>-114.505086000001</v>
      </c>
      <c r="R381" s="10" t="n">
        <f aca="false">J381*(E381-K381)*(1-F381)</f>
        <v>-505.14804366</v>
      </c>
      <c r="S381" s="10" t="n">
        <f aca="false">M381*(F381-L381)</f>
        <v>-1277.75290334249</v>
      </c>
      <c r="T381" s="10" t="n">
        <f aca="false">ROUND(P381-(Q381+R381+S381),2)</f>
        <v>0</v>
      </c>
    </row>
    <row r="382" customFormat="false" ht="15" hidden="false" customHeight="true" outlineLevel="0" collapsed="false">
      <c r="A382" s="7" t="s">
        <v>63</v>
      </c>
      <c r="B382" s="7" t="s">
        <v>73</v>
      </c>
      <c r="C382" s="7" t="s">
        <v>69</v>
      </c>
      <c r="D382" s="8" t="n">
        <v>198049.43</v>
      </c>
      <c r="E382" s="9" t="n">
        <v>0.11</v>
      </c>
      <c r="F382" s="9" t="n">
        <v>0.54</v>
      </c>
      <c r="G382" s="10" t="n">
        <f aca="false">D382*(1-E382)</f>
        <v>176263.9927</v>
      </c>
      <c r="H382" s="10" t="n">
        <f aca="false">G382*F382</f>
        <v>95182.556058</v>
      </c>
      <c r="I382" s="10" t="n">
        <f aca="false">G382-H382</f>
        <v>81081.436642</v>
      </c>
      <c r="J382" s="8" t="n">
        <v>199891.15</v>
      </c>
      <c r="K382" s="9" t="n">
        <v>0.1063</v>
      </c>
      <c r="L382" s="9" t="n">
        <v>0.5434</v>
      </c>
      <c r="M382" s="10" t="n">
        <f aca="false">J382*(1-K382)</f>
        <v>178642.720755</v>
      </c>
      <c r="N382" s="10" t="n">
        <f aca="false">M382*L382</f>
        <v>97074.454458267</v>
      </c>
      <c r="O382" s="10" t="n">
        <f aca="false">M382-N382</f>
        <v>81568.266296733</v>
      </c>
      <c r="P382" s="10" t="n">
        <f aca="false">O382-I382</f>
        <v>486.829654732996</v>
      </c>
      <c r="Q382" s="10" t="n">
        <f aca="false">(J382-D382)*(1-E382)*(1-F382)</f>
        <v>754.000168</v>
      </c>
      <c r="R382" s="10" t="n">
        <f aca="false">J382*(E382-K382)*(1-F382)</f>
        <v>340.2147373</v>
      </c>
      <c r="S382" s="10" t="n">
        <f aca="false">M382*(F382-L382)</f>
        <v>-607.385250566993</v>
      </c>
      <c r="T382" s="10" t="n">
        <f aca="false">ROUND(P382-(Q382+R382+S382),2)</f>
        <v>-0</v>
      </c>
    </row>
    <row r="383" customFormat="false" ht="15" hidden="false" customHeight="true" outlineLevel="0" collapsed="false">
      <c r="A383" s="7" t="s">
        <v>64</v>
      </c>
      <c r="B383" s="7" t="s">
        <v>73</v>
      </c>
      <c r="C383" s="7" t="s">
        <v>69</v>
      </c>
      <c r="D383" s="8" t="n">
        <v>208911.26</v>
      </c>
      <c r="E383" s="9" t="n">
        <v>0.11</v>
      </c>
      <c r="F383" s="9" t="n">
        <v>0.54</v>
      </c>
      <c r="G383" s="10" t="n">
        <f aca="false">D383*(1-E383)</f>
        <v>185931.0214</v>
      </c>
      <c r="H383" s="10" t="n">
        <f aca="false">G383*F383</f>
        <v>100402.751556</v>
      </c>
      <c r="I383" s="10" t="n">
        <f aca="false">G383-H383</f>
        <v>85528.269844</v>
      </c>
      <c r="J383" s="8" t="n">
        <v>198901.17</v>
      </c>
      <c r="K383" s="9" t="n">
        <v>0.1017</v>
      </c>
      <c r="L383" s="9" t="n">
        <v>0.5372</v>
      </c>
      <c r="M383" s="10" t="n">
        <f aca="false">J383*(1-K383)</f>
        <v>178672.921011</v>
      </c>
      <c r="N383" s="10" t="n">
        <f aca="false">M383*L383</f>
        <v>95983.0931671092</v>
      </c>
      <c r="O383" s="10" t="n">
        <f aca="false">M383-N383</f>
        <v>82689.8278438908</v>
      </c>
      <c r="P383" s="10" t="n">
        <f aca="false">O383-I383</f>
        <v>-2838.44200010919</v>
      </c>
      <c r="Q383" s="10" t="n">
        <f aca="false">(J383-D383)*(1-E383)*(1-F383)</f>
        <v>-4098.130846</v>
      </c>
      <c r="R383" s="10" t="n">
        <f aca="false">J383*(E383-K383)*(1-F383)</f>
        <v>759.40466706</v>
      </c>
      <c r="S383" s="10" t="n">
        <f aca="false">M383*(F383-L383)</f>
        <v>500.284178830804</v>
      </c>
      <c r="T383" s="10" t="n">
        <f aca="false">ROUND(P383-(Q383+R383+S383),2)</f>
        <v>0</v>
      </c>
    </row>
    <row r="384" customFormat="false" ht="15" hidden="false" customHeight="true" outlineLevel="0" collapsed="false">
      <c r="A384" s="7" t="s">
        <v>65</v>
      </c>
      <c r="B384" s="7" t="s">
        <v>73</v>
      </c>
      <c r="C384" s="7" t="s">
        <v>69</v>
      </c>
      <c r="D384" s="8" t="n">
        <v>248586.19</v>
      </c>
      <c r="E384" s="9" t="n">
        <v>0.11</v>
      </c>
      <c r="F384" s="9" t="n">
        <v>0.54</v>
      </c>
      <c r="G384" s="10" t="n">
        <f aca="false">D384*(1-E384)</f>
        <v>221241.7091</v>
      </c>
      <c r="H384" s="10" t="n">
        <f aca="false">G384*F384</f>
        <v>119470.522914</v>
      </c>
      <c r="I384" s="10" t="n">
        <f aca="false">G384-H384</f>
        <v>101771.186186</v>
      </c>
      <c r="J384" s="8" t="n">
        <v>272170.01</v>
      </c>
      <c r="K384" s="9" t="n">
        <v>0.0908</v>
      </c>
      <c r="L384" s="9" t="n">
        <v>0.537</v>
      </c>
      <c r="M384" s="10" t="n">
        <f aca="false">J384*(1-K384)</f>
        <v>247456.973092</v>
      </c>
      <c r="N384" s="10" t="n">
        <f aca="false">M384*L384</f>
        <v>132884.394550404</v>
      </c>
      <c r="O384" s="10" t="n">
        <f aca="false">M384-N384</f>
        <v>114572.578541596</v>
      </c>
      <c r="P384" s="10" t="n">
        <f aca="false">O384-I384</f>
        <v>12801.392355596</v>
      </c>
      <c r="Q384" s="10" t="n">
        <f aca="false">(J384-D384)*(1-E384)*(1-F384)</f>
        <v>9655.215908</v>
      </c>
      <c r="R384" s="10" t="n">
        <f aca="false">J384*(E384-K384)*(1-F384)</f>
        <v>2403.80552832</v>
      </c>
      <c r="S384" s="10" t="n">
        <f aca="false">M384*(F384-L384)</f>
        <v>742.370919276001</v>
      </c>
      <c r="T384" s="10" t="n">
        <f aca="false">ROUND(P384-(Q384+R384+S384),2)</f>
        <v>0</v>
      </c>
    </row>
    <row r="385" customFormat="false" ht="15" hidden="false" customHeight="true" outlineLevel="0" collapsed="false">
      <c r="A385" s="7" t="s">
        <v>66</v>
      </c>
      <c r="B385" s="7" t="s">
        <v>73</v>
      </c>
      <c r="C385" s="7" t="s">
        <v>69</v>
      </c>
      <c r="D385" s="8" t="n">
        <v>234875.57</v>
      </c>
      <c r="E385" s="9" t="n">
        <v>0.11</v>
      </c>
      <c r="F385" s="9" t="n">
        <v>0.54</v>
      </c>
      <c r="G385" s="10" t="n">
        <f aca="false">D385*(1-E385)</f>
        <v>209039.2573</v>
      </c>
      <c r="H385" s="10" t="n">
        <f aca="false">G385*F385</f>
        <v>112881.198942</v>
      </c>
      <c r="I385" s="10" t="n">
        <f aca="false">G385-H385</f>
        <v>96158.058358</v>
      </c>
      <c r="J385" s="8" t="n">
        <v>220350.71</v>
      </c>
      <c r="K385" s="9" t="n">
        <v>0.1195</v>
      </c>
      <c r="L385" s="9" t="n">
        <v>0.5392</v>
      </c>
      <c r="M385" s="10" t="n">
        <f aca="false">J385*(1-K385)</f>
        <v>194018.800155</v>
      </c>
      <c r="N385" s="10" t="n">
        <f aca="false">M385*L385</f>
        <v>104614.937043576</v>
      </c>
      <c r="O385" s="10" t="n">
        <f aca="false">M385-N385</f>
        <v>89403.863111424</v>
      </c>
      <c r="P385" s="10" t="n">
        <f aca="false">O385-I385</f>
        <v>-6754.195246576</v>
      </c>
      <c r="Q385" s="10" t="n">
        <f aca="false">(J385-D385)*(1-E385)*(1-F385)</f>
        <v>-5946.47768400001</v>
      </c>
      <c r="R385" s="10" t="n">
        <f aca="false">J385*(E385-K385)*(1-F385)</f>
        <v>-962.932602699999</v>
      </c>
      <c r="S385" s="10" t="n">
        <f aca="false">M385*(F385-L385)</f>
        <v>155.215040124004</v>
      </c>
      <c r="T385" s="10" t="n">
        <f aca="false">ROUND(P385-(Q385+R385+S385),2)</f>
        <v>0</v>
      </c>
    </row>
    <row r="386" customFormat="false" ht="15" hidden="false" customHeight="true" outlineLevel="0" collapsed="false">
      <c r="A386" s="7" t="s">
        <v>41</v>
      </c>
      <c r="B386" s="7" t="s">
        <v>73</v>
      </c>
      <c r="C386" s="7" t="s">
        <v>70</v>
      </c>
      <c r="D386" s="8" t="n">
        <v>94072.06</v>
      </c>
      <c r="E386" s="9" t="n">
        <v>0.13</v>
      </c>
      <c r="F386" s="9" t="n">
        <v>0.6</v>
      </c>
      <c r="G386" s="10" t="n">
        <f aca="false">D386*(1-E386)</f>
        <v>81842.6922</v>
      </c>
      <c r="H386" s="10" t="n">
        <f aca="false">G386*F386</f>
        <v>49105.61532</v>
      </c>
      <c r="I386" s="10" t="n">
        <f aca="false">G386-H386</f>
        <v>32737.07688</v>
      </c>
      <c r="J386" s="8" t="n">
        <v>92350.55</v>
      </c>
      <c r="K386" s="9" t="n">
        <v>0.1607</v>
      </c>
      <c r="L386" s="9" t="n">
        <v>0.5954</v>
      </c>
      <c r="M386" s="10" t="n">
        <f aca="false">J386*(1-K386)</f>
        <v>77509.816615</v>
      </c>
      <c r="N386" s="10" t="n">
        <f aca="false">M386*L386</f>
        <v>46149.344812571</v>
      </c>
      <c r="O386" s="10" t="n">
        <f aca="false">M386-N386</f>
        <v>31360.471802429</v>
      </c>
      <c r="P386" s="10" t="n">
        <f aca="false">O386-I386</f>
        <v>-1376.605077571</v>
      </c>
      <c r="Q386" s="10" t="n">
        <f aca="false">(J386-D386)*(1-E386)*(1-F386)</f>
        <v>-599.085479999998</v>
      </c>
      <c r="R386" s="10" t="n">
        <f aca="false">J386*(E386-K386)*(1-F386)</f>
        <v>-1134.064754</v>
      </c>
      <c r="S386" s="10" t="n">
        <f aca="false">M386*(F386-L386)</f>
        <v>356.545156428995</v>
      </c>
      <c r="T386" s="10" t="n">
        <f aca="false">ROUND(P386-(Q386+R386+S386),2)</f>
        <v>0</v>
      </c>
    </row>
    <row r="387" customFormat="false" ht="15" hidden="false" customHeight="true" outlineLevel="0" collapsed="false">
      <c r="A387" s="7" t="s">
        <v>44</v>
      </c>
      <c r="B387" s="7" t="s">
        <v>73</v>
      </c>
      <c r="C387" s="7" t="s">
        <v>70</v>
      </c>
      <c r="D387" s="8" t="n">
        <v>92717.42</v>
      </c>
      <c r="E387" s="9" t="n">
        <v>0.13</v>
      </c>
      <c r="F387" s="9" t="n">
        <v>0.6</v>
      </c>
      <c r="G387" s="10" t="n">
        <f aca="false">D387*(1-E387)</f>
        <v>80664.1554</v>
      </c>
      <c r="H387" s="10" t="n">
        <f aca="false">G387*F387</f>
        <v>48398.49324</v>
      </c>
      <c r="I387" s="10" t="n">
        <f aca="false">G387-H387</f>
        <v>32265.66216</v>
      </c>
      <c r="J387" s="8" t="n">
        <v>91863.02</v>
      </c>
      <c r="K387" s="9" t="n">
        <v>0.1706</v>
      </c>
      <c r="L387" s="9" t="n">
        <v>0.5981</v>
      </c>
      <c r="M387" s="10" t="n">
        <f aca="false">J387*(1-K387)</f>
        <v>76191.188788</v>
      </c>
      <c r="N387" s="10" t="n">
        <f aca="false">M387*L387</f>
        <v>45569.9500141028</v>
      </c>
      <c r="O387" s="10" t="n">
        <f aca="false">M387-N387</f>
        <v>30621.2387738972</v>
      </c>
      <c r="P387" s="10" t="n">
        <f aca="false">O387-I387</f>
        <v>-1644.4233861028</v>
      </c>
      <c r="Q387" s="10" t="n">
        <f aca="false">(J387-D387)*(1-E387)*(1-F387)</f>
        <v>-297.331199999998</v>
      </c>
      <c r="R387" s="10" t="n">
        <f aca="false">J387*(E387-K387)*(1-F387)</f>
        <v>-1491.8554448</v>
      </c>
      <c r="S387" s="10" t="n">
        <f aca="false">M387*(F387-L387)</f>
        <v>144.763258697201</v>
      </c>
      <c r="T387" s="10" t="n">
        <f aca="false">ROUND(P387-(Q387+R387+S387),2)</f>
        <v>0</v>
      </c>
    </row>
    <row r="388" customFormat="false" ht="15" hidden="false" customHeight="true" outlineLevel="0" collapsed="false">
      <c r="A388" s="7" t="s">
        <v>45</v>
      </c>
      <c r="B388" s="7" t="s">
        <v>73</v>
      </c>
      <c r="C388" s="7" t="s">
        <v>70</v>
      </c>
      <c r="D388" s="8" t="n">
        <v>100887.06</v>
      </c>
      <c r="E388" s="9" t="n">
        <v>0.13</v>
      </c>
      <c r="F388" s="9" t="n">
        <v>0.6</v>
      </c>
      <c r="G388" s="10" t="n">
        <f aca="false">D388*(1-E388)</f>
        <v>87771.7422</v>
      </c>
      <c r="H388" s="10" t="n">
        <f aca="false">G388*F388</f>
        <v>52663.04532</v>
      </c>
      <c r="I388" s="10" t="n">
        <f aca="false">G388-H388</f>
        <v>35108.69688</v>
      </c>
      <c r="J388" s="8" t="n">
        <v>94087.39</v>
      </c>
      <c r="K388" s="9" t="n">
        <v>0.1369</v>
      </c>
      <c r="L388" s="9" t="n">
        <v>0.6036</v>
      </c>
      <c r="M388" s="10" t="n">
        <f aca="false">J388*(1-K388)</f>
        <v>81206.826309</v>
      </c>
      <c r="N388" s="10" t="n">
        <f aca="false">M388*L388</f>
        <v>49016.4403601124</v>
      </c>
      <c r="O388" s="10" t="n">
        <f aca="false">M388-N388</f>
        <v>32190.3859488876</v>
      </c>
      <c r="P388" s="10" t="n">
        <f aca="false">O388-I388</f>
        <v>-2918.3109311124</v>
      </c>
      <c r="Q388" s="10" t="n">
        <f aca="false">(J388-D388)*(1-E388)*(1-F388)</f>
        <v>-2366.28516</v>
      </c>
      <c r="R388" s="10" t="n">
        <f aca="false">J388*(E388-K388)*(1-F388)</f>
        <v>-259.6811964</v>
      </c>
      <c r="S388" s="10" t="n">
        <f aca="false">M388*(F388-L388)</f>
        <v>-292.344574712404</v>
      </c>
      <c r="T388" s="10" t="n">
        <f aca="false">ROUND(P388-(Q388+R388+S388),2)</f>
        <v>0</v>
      </c>
    </row>
    <row r="389" customFormat="false" ht="15" hidden="false" customHeight="true" outlineLevel="0" collapsed="false">
      <c r="A389" s="7" t="s">
        <v>46</v>
      </c>
      <c r="B389" s="7" t="s">
        <v>73</v>
      </c>
      <c r="C389" s="7" t="s">
        <v>70</v>
      </c>
      <c r="D389" s="8" t="n">
        <v>104892.44</v>
      </c>
      <c r="E389" s="9" t="n">
        <v>0.13</v>
      </c>
      <c r="F389" s="9" t="n">
        <v>0.6</v>
      </c>
      <c r="G389" s="10" t="n">
        <f aca="false">D389*(1-E389)</f>
        <v>91256.4228</v>
      </c>
      <c r="H389" s="10" t="n">
        <f aca="false">G389*F389</f>
        <v>54753.85368</v>
      </c>
      <c r="I389" s="10" t="n">
        <f aca="false">G389-H389</f>
        <v>36502.56912</v>
      </c>
      <c r="J389" s="8" t="n">
        <v>101865.75</v>
      </c>
      <c r="K389" s="9" t="n">
        <v>0.1404</v>
      </c>
      <c r="L389" s="9" t="n">
        <v>0.6019</v>
      </c>
      <c r="M389" s="10" t="n">
        <f aca="false">J389*(1-K389)</f>
        <v>87563.7987</v>
      </c>
      <c r="N389" s="10" t="n">
        <f aca="false">M389*L389</f>
        <v>52704.65043753</v>
      </c>
      <c r="O389" s="10" t="n">
        <f aca="false">M389-N389</f>
        <v>34859.14826247</v>
      </c>
      <c r="P389" s="10" t="n">
        <f aca="false">O389-I389</f>
        <v>-1643.42085753</v>
      </c>
      <c r="Q389" s="10" t="n">
        <f aca="false">(J389-D389)*(1-E389)*(1-F389)</f>
        <v>-1053.28812</v>
      </c>
      <c r="R389" s="10" t="n">
        <f aca="false">J389*(E389-K389)*(1-F389)</f>
        <v>-423.76152</v>
      </c>
      <c r="S389" s="10" t="n">
        <f aca="false">M389*(F389-L389)</f>
        <v>-166.371217530001</v>
      </c>
      <c r="T389" s="10" t="n">
        <f aca="false">ROUND(P389-(Q389+R389+S389),2)</f>
        <v>0</v>
      </c>
    </row>
    <row r="390" customFormat="false" ht="15" hidden="false" customHeight="true" outlineLevel="0" collapsed="false">
      <c r="A390" s="7" t="s">
        <v>47</v>
      </c>
      <c r="B390" s="7" t="s">
        <v>73</v>
      </c>
      <c r="C390" s="7" t="s">
        <v>70</v>
      </c>
      <c r="D390" s="8" t="n">
        <v>107869.3</v>
      </c>
      <c r="E390" s="9" t="n">
        <v>0.13</v>
      </c>
      <c r="F390" s="9" t="n">
        <v>0.6</v>
      </c>
      <c r="G390" s="10" t="n">
        <f aca="false">D390*(1-E390)</f>
        <v>93846.291</v>
      </c>
      <c r="H390" s="10" t="n">
        <f aca="false">G390*F390</f>
        <v>56307.7746</v>
      </c>
      <c r="I390" s="10" t="n">
        <f aca="false">G390-H390</f>
        <v>37538.5164</v>
      </c>
      <c r="J390" s="8" t="n">
        <v>103135.08</v>
      </c>
      <c r="K390" s="9" t="n">
        <v>0.175</v>
      </c>
      <c r="L390" s="9" t="n">
        <v>0.6005</v>
      </c>
      <c r="M390" s="10" t="n">
        <f aca="false">J390*(1-K390)</f>
        <v>85086.441</v>
      </c>
      <c r="N390" s="10" t="n">
        <f aca="false">M390*L390</f>
        <v>51094.4078205</v>
      </c>
      <c r="O390" s="10" t="n">
        <f aca="false">M390-N390</f>
        <v>33992.0331795</v>
      </c>
      <c r="P390" s="10" t="n">
        <f aca="false">O390-I390</f>
        <v>-3546.48322050001</v>
      </c>
      <c r="Q390" s="10" t="n">
        <f aca="false">(J390-D390)*(1-E390)*(1-F390)</f>
        <v>-1647.50856</v>
      </c>
      <c r="R390" s="10" t="n">
        <f aca="false">J390*(E390-K390)*(1-F390)</f>
        <v>-1856.43144</v>
      </c>
      <c r="S390" s="10" t="n">
        <f aca="false">M390*(F390-L390)</f>
        <v>-42.5432205000048</v>
      </c>
      <c r="T390" s="10" t="n">
        <f aca="false">ROUND(P390-(Q390+R390+S390),2)</f>
        <v>0</v>
      </c>
    </row>
    <row r="391" customFormat="false" ht="15" hidden="false" customHeight="true" outlineLevel="0" collapsed="false">
      <c r="A391" s="7" t="s">
        <v>48</v>
      </c>
      <c r="B391" s="7" t="s">
        <v>73</v>
      </c>
      <c r="C391" s="7" t="s">
        <v>70</v>
      </c>
      <c r="D391" s="8" t="n">
        <v>110879.6</v>
      </c>
      <c r="E391" s="9" t="n">
        <v>0.13</v>
      </c>
      <c r="F391" s="9" t="n">
        <v>0.6</v>
      </c>
      <c r="G391" s="10" t="n">
        <f aca="false">D391*(1-E391)</f>
        <v>96465.252</v>
      </c>
      <c r="H391" s="10" t="n">
        <f aca="false">G391*F391</f>
        <v>57879.1512</v>
      </c>
      <c r="I391" s="10" t="n">
        <f aca="false">G391-H391</f>
        <v>38586.1008</v>
      </c>
      <c r="J391" s="8" t="n">
        <v>112496.39</v>
      </c>
      <c r="K391" s="9" t="n">
        <v>0.1535</v>
      </c>
      <c r="L391" s="9" t="n">
        <v>0.5989</v>
      </c>
      <c r="M391" s="10" t="n">
        <f aca="false">J391*(1-K391)</f>
        <v>95228.194135</v>
      </c>
      <c r="N391" s="10" t="n">
        <f aca="false">M391*L391</f>
        <v>57032.1654674515</v>
      </c>
      <c r="O391" s="10" t="n">
        <f aca="false">M391-N391</f>
        <v>38196.0286675485</v>
      </c>
      <c r="P391" s="10" t="n">
        <f aca="false">O391-I391</f>
        <v>-390.072132451511</v>
      </c>
      <c r="Q391" s="10" t="n">
        <f aca="false">(J391-D391)*(1-E391)*(1-F391)</f>
        <v>562.642919999998</v>
      </c>
      <c r="R391" s="10" t="n">
        <f aca="false">J391*(E391-K391)*(1-F391)</f>
        <v>-1057.466066</v>
      </c>
      <c r="S391" s="10" t="n">
        <f aca="false">M391*(F391-L391)</f>
        <v>104.751013548499</v>
      </c>
      <c r="T391" s="10" t="n">
        <f aca="false">ROUND(P391-(Q391+R391+S391),2)</f>
        <v>-0</v>
      </c>
    </row>
    <row r="392" customFormat="false" ht="15" hidden="false" customHeight="true" outlineLevel="0" collapsed="false">
      <c r="A392" s="7" t="s">
        <v>49</v>
      </c>
      <c r="B392" s="7" t="s">
        <v>73</v>
      </c>
      <c r="C392" s="7" t="s">
        <v>70</v>
      </c>
      <c r="D392" s="8" t="n">
        <v>109541.69</v>
      </c>
      <c r="E392" s="9" t="n">
        <v>0.13</v>
      </c>
      <c r="F392" s="9" t="n">
        <v>0.6</v>
      </c>
      <c r="G392" s="10" t="n">
        <f aca="false">D392*(1-E392)</f>
        <v>95301.2703</v>
      </c>
      <c r="H392" s="10" t="n">
        <f aca="false">G392*F392</f>
        <v>57180.76218</v>
      </c>
      <c r="I392" s="10" t="n">
        <f aca="false">G392-H392</f>
        <v>38120.50812</v>
      </c>
      <c r="J392" s="8" t="n">
        <v>106957.84</v>
      </c>
      <c r="K392" s="9" t="n">
        <v>0.1675</v>
      </c>
      <c r="L392" s="9" t="n">
        <v>0.5871</v>
      </c>
      <c r="M392" s="10" t="n">
        <f aca="false">J392*(1-K392)</f>
        <v>89042.4018</v>
      </c>
      <c r="N392" s="10" t="n">
        <f aca="false">M392*L392</f>
        <v>52276.79409678</v>
      </c>
      <c r="O392" s="10" t="n">
        <f aca="false">M392-N392</f>
        <v>36765.60770322</v>
      </c>
      <c r="P392" s="10" t="n">
        <f aca="false">O392-I392</f>
        <v>-1354.90041678001</v>
      </c>
      <c r="Q392" s="10" t="n">
        <f aca="false">(J392-D392)*(1-E392)*(1-F392)</f>
        <v>-899.179800000002</v>
      </c>
      <c r="R392" s="10" t="n">
        <f aca="false">J392*(E392-K392)*(1-F392)</f>
        <v>-1604.3676</v>
      </c>
      <c r="S392" s="10" t="n">
        <f aca="false">M392*(F392-L392)</f>
        <v>1148.64698322</v>
      </c>
      <c r="T392" s="10" t="n">
        <f aca="false">ROUND(P392-(Q392+R392+S392),2)</f>
        <v>-0</v>
      </c>
    </row>
    <row r="393" customFormat="false" ht="15" hidden="false" customHeight="true" outlineLevel="0" collapsed="false">
      <c r="A393" s="7" t="s">
        <v>50</v>
      </c>
      <c r="B393" s="7" t="s">
        <v>73</v>
      </c>
      <c r="C393" s="7" t="s">
        <v>70</v>
      </c>
      <c r="D393" s="8" t="n">
        <v>113689.22</v>
      </c>
      <c r="E393" s="9" t="n">
        <v>0.13</v>
      </c>
      <c r="F393" s="9" t="n">
        <v>0.6</v>
      </c>
      <c r="G393" s="10" t="n">
        <f aca="false">D393*(1-E393)</f>
        <v>98909.6214</v>
      </c>
      <c r="H393" s="10" t="n">
        <f aca="false">G393*F393</f>
        <v>59345.77284</v>
      </c>
      <c r="I393" s="10" t="n">
        <f aca="false">G393-H393</f>
        <v>39563.84856</v>
      </c>
      <c r="J393" s="8" t="n">
        <v>118090.08</v>
      </c>
      <c r="K393" s="9" t="n">
        <v>0.1911</v>
      </c>
      <c r="L393" s="9" t="n">
        <v>0.6048</v>
      </c>
      <c r="M393" s="10" t="n">
        <f aca="false">J393*(1-K393)</f>
        <v>95523.065712</v>
      </c>
      <c r="N393" s="10" t="n">
        <f aca="false">M393*L393</f>
        <v>57772.3501426176</v>
      </c>
      <c r="O393" s="10" t="n">
        <f aca="false">M393-N393</f>
        <v>37750.7155693824</v>
      </c>
      <c r="P393" s="10" t="n">
        <f aca="false">O393-I393</f>
        <v>-1813.13299061761</v>
      </c>
      <c r="Q393" s="10" t="n">
        <f aca="false">(J393-D393)*(1-E393)*(1-F393)</f>
        <v>1531.49928</v>
      </c>
      <c r="R393" s="10" t="n">
        <f aca="false">J393*(E393-K393)*(1-F393)</f>
        <v>-2886.1215552</v>
      </c>
      <c r="S393" s="10" t="n">
        <f aca="false">M393*(F393-L393)</f>
        <v>-458.510715417603</v>
      </c>
      <c r="T393" s="10" t="n">
        <f aca="false">ROUND(P393-(Q393+R393+S393),2)</f>
        <v>-0</v>
      </c>
    </row>
    <row r="394" customFormat="false" ht="15" hidden="false" customHeight="true" outlineLevel="0" collapsed="false">
      <c r="A394" s="7" t="s">
        <v>51</v>
      </c>
      <c r="B394" s="7" t="s">
        <v>73</v>
      </c>
      <c r="C394" s="7" t="s">
        <v>70</v>
      </c>
      <c r="D394" s="8" t="n">
        <v>116774.79</v>
      </c>
      <c r="E394" s="9" t="n">
        <v>0.13</v>
      </c>
      <c r="F394" s="9" t="n">
        <v>0.6</v>
      </c>
      <c r="G394" s="10" t="n">
        <f aca="false">D394*(1-E394)</f>
        <v>101594.0673</v>
      </c>
      <c r="H394" s="10" t="n">
        <f aca="false">G394*F394</f>
        <v>60956.44038</v>
      </c>
      <c r="I394" s="10" t="n">
        <f aca="false">G394-H394</f>
        <v>40637.62692</v>
      </c>
      <c r="J394" s="8" t="n">
        <v>122626.76</v>
      </c>
      <c r="K394" s="9" t="n">
        <v>0.1627</v>
      </c>
      <c r="L394" s="9" t="n">
        <v>0.5961</v>
      </c>
      <c r="M394" s="10" t="n">
        <f aca="false">J394*(1-K394)</f>
        <v>102675.386148</v>
      </c>
      <c r="N394" s="10" t="n">
        <f aca="false">M394*L394</f>
        <v>61204.7976828228</v>
      </c>
      <c r="O394" s="10" t="n">
        <f aca="false">M394-N394</f>
        <v>41470.5884651772</v>
      </c>
      <c r="P394" s="10" t="n">
        <f aca="false">O394-I394</f>
        <v>832.961545177197</v>
      </c>
      <c r="Q394" s="10" t="n">
        <f aca="false">(J394-D394)*(1-E394)*(1-F394)</f>
        <v>2036.48556</v>
      </c>
      <c r="R394" s="10" t="n">
        <f aca="false">J394*(E394-K394)*(1-F394)</f>
        <v>-1603.9580208</v>
      </c>
      <c r="S394" s="10" t="n">
        <f aca="false">M394*(F394-L394)</f>
        <v>400.434005977202</v>
      </c>
      <c r="T394" s="10" t="n">
        <f aca="false">ROUND(P394-(Q394+R394+S394),2)</f>
        <v>-0</v>
      </c>
    </row>
    <row r="395" customFormat="false" ht="15" hidden="false" customHeight="true" outlineLevel="0" collapsed="false">
      <c r="A395" s="7" t="s">
        <v>52</v>
      </c>
      <c r="B395" s="7" t="s">
        <v>73</v>
      </c>
      <c r="C395" s="7" t="s">
        <v>70</v>
      </c>
      <c r="D395" s="8" t="n">
        <v>123255.31</v>
      </c>
      <c r="E395" s="9" t="n">
        <v>0.13</v>
      </c>
      <c r="F395" s="9" t="n">
        <v>0.6</v>
      </c>
      <c r="G395" s="10" t="n">
        <f aca="false">D395*(1-E395)</f>
        <v>107232.1197</v>
      </c>
      <c r="H395" s="10" t="n">
        <f aca="false">G395*F395</f>
        <v>64339.27182</v>
      </c>
      <c r="I395" s="10" t="n">
        <f aca="false">G395-H395</f>
        <v>42892.84788</v>
      </c>
      <c r="J395" s="8" t="n">
        <v>110558.84</v>
      </c>
      <c r="K395" s="9" t="n">
        <v>0.1794</v>
      </c>
      <c r="L395" s="9" t="n">
        <v>0.603</v>
      </c>
      <c r="M395" s="10" t="n">
        <f aca="false">J395*(1-K395)</f>
        <v>90724.584104</v>
      </c>
      <c r="N395" s="10" t="n">
        <f aca="false">M395*L395</f>
        <v>54706.924214712</v>
      </c>
      <c r="O395" s="10" t="n">
        <f aca="false">M395-N395</f>
        <v>36017.659889288</v>
      </c>
      <c r="P395" s="10" t="n">
        <f aca="false">O395-I395</f>
        <v>-6875.187990712</v>
      </c>
      <c r="Q395" s="10" t="n">
        <f aca="false">(J395-D395)*(1-E395)*(1-F395)</f>
        <v>-4418.37156</v>
      </c>
      <c r="R395" s="10" t="n">
        <f aca="false">J395*(E395-K395)*(1-F395)</f>
        <v>-2184.6426784</v>
      </c>
      <c r="S395" s="10" t="n">
        <f aca="false">M395*(F395-L395)</f>
        <v>-272.173752312</v>
      </c>
      <c r="T395" s="10" t="n">
        <f aca="false">ROUND(P395-(Q395+R395+S395),2)</f>
        <v>0</v>
      </c>
    </row>
    <row r="396" customFormat="false" ht="15" hidden="false" customHeight="true" outlineLevel="0" collapsed="false">
      <c r="A396" s="7" t="s">
        <v>53</v>
      </c>
      <c r="B396" s="7" t="s">
        <v>73</v>
      </c>
      <c r="C396" s="7" t="s">
        <v>70</v>
      </c>
      <c r="D396" s="8" t="n">
        <v>146752.42</v>
      </c>
      <c r="E396" s="9" t="n">
        <v>0.13</v>
      </c>
      <c r="F396" s="9" t="n">
        <v>0.6</v>
      </c>
      <c r="G396" s="10" t="n">
        <f aca="false">D396*(1-E396)</f>
        <v>127674.6054</v>
      </c>
      <c r="H396" s="10" t="n">
        <f aca="false">G396*F396</f>
        <v>76604.76324</v>
      </c>
      <c r="I396" s="10" t="n">
        <f aca="false">G396-H396</f>
        <v>51069.84216</v>
      </c>
      <c r="J396" s="8" t="n">
        <v>150862.63</v>
      </c>
      <c r="K396" s="9" t="n">
        <v>0.173</v>
      </c>
      <c r="L396" s="9" t="n">
        <v>0.5786</v>
      </c>
      <c r="M396" s="10" t="n">
        <f aca="false">J396*(1-K396)</f>
        <v>124763.39501</v>
      </c>
      <c r="N396" s="10" t="n">
        <f aca="false">M396*L396</f>
        <v>72188.100352786</v>
      </c>
      <c r="O396" s="10" t="n">
        <f aca="false">M396-N396</f>
        <v>52575.294657214</v>
      </c>
      <c r="P396" s="10" t="n">
        <f aca="false">O396-I396</f>
        <v>1505.45249721398</v>
      </c>
      <c r="Q396" s="10" t="n">
        <f aca="false">(J396-D396)*(1-E396)*(1-F396)</f>
        <v>1430.35308</v>
      </c>
      <c r="R396" s="10" t="n">
        <f aca="false">J396*(E396-K396)*(1-F396)</f>
        <v>-2594.837236</v>
      </c>
      <c r="S396" s="10" t="n">
        <f aca="false">M396*(F396-L396)</f>
        <v>2669.936653214</v>
      </c>
      <c r="T396" s="10" t="n">
        <f aca="false">ROUND(P396-(Q396+R396+S396),2)</f>
        <v>-0</v>
      </c>
    </row>
    <row r="397" customFormat="false" ht="15" hidden="false" customHeight="true" outlineLevel="0" collapsed="false">
      <c r="A397" s="7" t="s">
        <v>54</v>
      </c>
      <c r="B397" s="7" t="s">
        <v>73</v>
      </c>
      <c r="C397" s="7" t="s">
        <v>70</v>
      </c>
      <c r="D397" s="8" t="n">
        <v>138741.66</v>
      </c>
      <c r="E397" s="9" t="n">
        <v>0.13</v>
      </c>
      <c r="F397" s="9" t="n">
        <v>0.6</v>
      </c>
      <c r="G397" s="10" t="n">
        <f aca="false">D397*(1-E397)</f>
        <v>120705.2442</v>
      </c>
      <c r="H397" s="10" t="n">
        <f aca="false">G397*F397</f>
        <v>72423.14652</v>
      </c>
      <c r="I397" s="10" t="n">
        <f aca="false">G397-H397</f>
        <v>48282.09768</v>
      </c>
      <c r="J397" s="8" t="n">
        <v>139488.89</v>
      </c>
      <c r="K397" s="9" t="n">
        <v>0.1803</v>
      </c>
      <c r="L397" s="9" t="n">
        <v>0.6028</v>
      </c>
      <c r="M397" s="10" t="n">
        <f aca="false">J397*(1-K397)</f>
        <v>114339.043133</v>
      </c>
      <c r="N397" s="10" t="n">
        <f aca="false">M397*L397</f>
        <v>68923.5752005724</v>
      </c>
      <c r="O397" s="10" t="n">
        <f aca="false">M397-N397</f>
        <v>45415.4679324276</v>
      </c>
      <c r="P397" s="10" t="n">
        <f aca="false">O397-I397</f>
        <v>-2866.6297475724</v>
      </c>
      <c r="Q397" s="10" t="n">
        <f aca="false">(J397-D397)*(1-E397)*(1-F397)</f>
        <v>260.036040000004</v>
      </c>
      <c r="R397" s="10" t="n">
        <f aca="false">J397*(E397-K397)*(1-F397)</f>
        <v>-2806.5164668</v>
      </c>
      <c r="S397" s="10" t="n">
        <f aca="false">M397*(F397-L397)</f>
        <v>-320.149320772403</v>
      </c>
      <c r="T397" s="10" t="n">
        <f aca="false">ROUND(P397-(Q397+R397+S397),2)</f>
        <v>0</v>
      </c>
    </row>
    <row r="398" customFormat="false" ht="15" hidden="false" customHeight="true" outlineLevel="0" collapsed="false">
      <c r="A398" s="7" t="s">
        <v>55</v>
      </c>
      <c r="B398" s="7" t="s">
        <v>73</v>
      </c>
      <c r="C398" s="7" t="s">
        <v>70</v>
      </c>
      <c r="D398" s="8" t="n">
        <v>103102.98</v>
      </c>
      <c r="E398" s="9" t="n">
        <v>0.13</v>
      </c>
      <c r="F398" s="9" t="n">
        <v>0.6</v>
      </c>
      <c r="G398" s="10" t="n">
        <f aca="false">D398*(1-E398)</f>
        <v>89699.5926</v>
      </c>
      <c r="H398" s="10" t="n">
        <f aca="false">G398*F398</f>
        <v>53819.75556</v>
      </c>
      <c r="I398" s="10" t="n">
        <f aca="false">G398-H398</f>
        <v>35879.83704</v>
      </c>
      <c r="J398" s="8" t="n">
        <v>99912.66</v>
      </c>
      <c r="K398" s="9" t="n">
        <v>0.1795</v>
      </c>
      <c r="L398" s="9" t="n">
        <v>0.5955</v>
      </c>
      <c r="M398" s="10" t="n">
        <f aca="false">J398*(1-K398)</f>
        <v>81978.33753</v>
      </c>
      <c r="N398" s="10" t="n">
        <f aca="false">M398*L398</f>
        <v>48818.099999115</v>
      </c>
      <c r="O398" s="10" t="n">
        <f aca="false">M398-N398</f>
        <v>33160.237530885</v>
      </c>
      <c r="P398" s="10" t="n">
        <f aca="false">O398-I398</f>
        <v>-2719.599509115</v>
      </c>
      <c r="Q398" s="10" t="n">
        <f aca="false">(J398-D398)*(1-E398)*(1-F398)</f>
        <v>-1110.23136</v>
      </c>
      <c r="R398" s="10" t="n">
        <f aca="false">J398*(E398-K398)*(1-F398)</f>
        <v>-1978.270668</v>
      </c>
      <c r="S398" s="10" t="n">
        <f aca="false">M398*(F398-L398)</f>
        <v>368.902518884996</v>
      </c>
      <c r="T398" s="10" t="n">
        <f aca="false">ROUND(P398-(Q398+R398+S398),2)</f>
        <v>0</v>
      </c>
    </row>
    <row r="399" customFormat="false" ht="15" hidden="false" customHeight="true" outlineLevel="0" collapsed="false">
      <c r="A399" s="7" t="s">
        <v>56</v>
      </c>
      <c r="B399" s="7" t="s">
        <v>73</v>
      </c>
      <c r="C399" s="7" t="s">
        <v>70</v>
      </c>
      <c r="D399" s="8" t="n">
        <v>101547.65</v>
      </c>
      <c r="E399" s="9" t="n">
        <v>0.13</v>
      </c>
      <c r="F399" s="9" t="n">
        <v>0.6</v>
      </c>
      <c r="G399" s="10" t="n">
        <f aca="false">D399*(1-E399)</f>
        <v>88346.4555</v>
      </c>
      <c r="H399" s="10" t="n">
        <f aca="false">G399*F399</f>
        <v>53007.8733</v>
      </c>
      <c r="I399" s="10" t="n">
        <f aca="false">G399-H399</f>
        <v>35338.5822</v>
      </c>
      <c r="J399" s="8" t="n">
        <v>106571.82</v>
      </c>
      <c r="K399" s="9" t="n">
        <v>0.1901</v>
      </c>
      <c r="L399" s="9" t="n">
        <v>0.6015</v>
      </c>
      <c r="M399" s="10" t="n">
        <f aca="false">J399*(1-K399)</f>
        <v>86312.517018</v>
      </c>
      <c r="N399" s="10" t="n">
        <f aca="false">M399*L399</f>
        <v>51916.978986327</v>
      </c>
      <c r="O399" s="10" t="n">
        <f aca="false">M399-N399</f>
        <v>34395.538031673</v>
      </c>
      <c r="P399" s="10" t="n">
        <f aca="false">O399-I399</f>
        <v>-943.044168326996</v>
      </c>
      <c r="Q399" s="10" t="n">
        <f aca="false">(J399-D399)*(1-E399)*(1-F399)</f>
        <v>1748.41116</v>
      </c>
      <c r="R399" s="10" t="n">
        <f aca="false">J399*(E399-K399)*(1-F399)</f>
        <v>-2561.9865528</v>
      </c>
      <c r="S399" s="10" t="n">
        <f aca="false">M399*(F399-L399)</f>
        <v>-129.468775527005</v>
      </c>
      <c r="T399" s="10" t="n">
        <f aca="false">ROUND(P399-(Q399+R399+S399),2)</f>
        <v>0</v>
      </c>
    </row>
    <row r="400" customFormat="false" ht="15" hidden="false" customHeight="true" outlineLevel="0" collapsed="false">
      <c r="A400" s="7" t="s">
        <v>57</v>
      </c>
      <c r="B400" s="7" t="s">
        <v>73</v>
      </c>
      <c r="C400" s="7" t="s">
        <v>70</v>
      </c>
      <c r="D400" s="8" t="n">
        <v>110419.7</v>
      </c>
      <c r="E400" s="9" t="n">
        <v>0.13</v>
      </c>
      <c r="F400" s="9" t="n">
        <v>0.6</v>
      </c>
      <c r="G400" s="10" t="n">
        <f aca="false">D400*(1-E400)</f>
        <v>96065.139</v>
      </c>
      <c r="H400" s="10" t="n">
        <f aca="false">G400*F400</f>
        <v>57639.0834</v>
      </c>
      <c r="I400" s="10" t="n">
        <f aca="false">G400-H400</f>
        <v>38426.0556</v>
      </c>
      <c r="J400" s="8" t="n">
        <v>111694.47</v>
      </c>
      <c r="K400" s="9" t="n">
        <v>0.1579</v>
      </c>
      <c r="L400" s="9" t="n">
        <v>0.6096</v>
      </c>
      <c r="M400" s="10" t="n">
        <f aca="false">J400*(1-K400)</f>
        <v>94057.913187</v>
      </c>
      <c r="N400" s="10" t="n">
        <f aca="false">M400*L400</f>
        <v>57337.7038787952</v>
      </c>
      <c r="O400" s="10" t="n">
        <f aca="false">M400-N400</f>
        <v>36720.2093082048</v>
      </c>
      <c r="P400" s="10" t="n">
        <f aca="false">O400-I400</f>
        <v>-1705.84629179521</v>
      </c>
      <c r="Q400" s="10" t="n">
        <f aca="false">(J400-D400)*(1-E400)*(1-F400)</f>
        <v>443.619960000001</v>
      </c>
      <c r="R400" s="10" t="n">
        <f aca="false">J400*(E400-K400)*(1-F400)</f>
        <v>-1246.5102852</v>
      </c>
      <c r="S400" s="10" t="n">
        <f aca="false">M400*(F400-L400)</f>
        <v>-902.955966595205</v>
      </c>
      <c r="T400" s="10" t="n">
        <f aca="false">ROUND(P400-(Q400+R400+S400),2)</f>
        <v>0</v>
      </c>
    </row>
    <row r="401" customFormat="false" ht="15" hidden="false" customHeight="true" outlineLevel="0" collapsed="false">
      <c r="A401" s="7" t="s">
        <v>58</v>
      </c>
      <c r="B401" s="7" t="s">
        <v>73</v>
      </c>
      <c r="C401" s="7" t="s">
        <v>70</v>
      </c>
      <c r="D401" s="8" t="n">
        <v>114726.11</v>
      </c>
      <c r="E401" s="9" t="n">
        <v>0.13</v>
      </c>
      <c r="F401" s="9" t="n">
        <v>0.6</v>
      </c>
      <c r="G401" s="10" t="n">
        <f aca="false">D401*(1-E401)</f>
        <v>99811.7157</v>
      </c>
      <c r="H401" s="10" t="n">
        <f aca="false">G401*F401</f>
        <v>59887.02942</v>
      </c>
      <c r="I401" s="10" t="n">
        <f aca="false">G401-H401</f>
        <v>39924.68628</v>
      </c>
      <c r="J401" s="8" t="n">
        <v>109311.42</v>
      </c>
      <c r="K401" s="9" t="n">
        <v>0.1763</v>
      </c>
      <c r="L401" s="9" t="n">
        <v>0.6031</v>
      </c>
      <c r="M401" s="10" t="n">
        <f aca="false">J401*(1-K401)</f>
        <v>90039.816654</v>
      </c>
      <c r="N401" s="10" t="n">
        <f aca="false">M401*L401</f>
        <v>54303.0134240274</v>
      </c>
      <c r="O401" s="10" t="n">
        <f aca="false">M401-N401</f>
        <v>35736.8032299726</v>
      </c>
      <c r="P401" s="10" t="n">
        <f aca="false">O401-I401</f>
        <v>-4187.8830500274</v>
      </c>
      <c r="Q401" s="10" t="n">
        <f aca="false">(J401-D401)*(1-E401)*(1-F401)</f>
        <v>-1884.31212</v>
      </c>
      <c r="R401" s="10" t="n">
        <f aca="false">J401*(E401-K401)*(1-F401)</f>
        <v>-2024.4474984</v>
      </c>
      <c r="S401" s="10" t="n">
        <f aca="false">M401*(F401-L401)</f>
        <v>-279.123431627399</v>
      </c>
      <c r="T401" s="10" t="n">
        <f aca="false">ROUND(P401-(Q401+R401+S401),2)</f>
        <v>0</v>
      </c>
    </row>
    <row r="402" customFormat="false" ht="15" hidden="false" customHeight="true" outlineLevel="0" collapsed="false">
      <c r="A402" s="7" t="s">
        <v>59</v>
      </c>
      <c r="B402" s="7" t="s">
        <v>73</v>
      </c>
      <c r="C402" s="7" t="s">
        <v>70</v>
      </c>
      <c r="D402" s="8" t="n">
        <v>117903.65</v>
      </c>
      <c r="E402" s="9" t="n">
        <v>0.13</v>
      </c>
      <c r="F402" s="9" t="n">
        <v>0.6</v>
      </c>
      <c r="G402" s="10" t="n">
        <f aca="false">D402*(1-E402)</f>
        <v>102576.1755</v>
      </c>
      <c r="H402" s="10" t="n">
        <f aca="false">G402*F402</f>
        <v>61545.7053</v>
      </c>
      <c r="I402" s="10" t="n">
        <f aca="false">G402-H402</f>
        <v>41030.4702</v>
      </c>
      <c r="J402" s="8" t="n">
        <v>109044.18</v>
      </c>
      <c r="K402" s="9" t="n">
        <v>0.2093</v>
      </c>
      <c r="L402" s="9" t="n">
        <v>0.5766</v>
      </c>
      <c r="M402" s="10" t="n">
        <f aca="false">J402*(1-K402)</f>
        <v>86221.233126</v>
      </c>
      <c r="N402" s="10" t="n">
        <f aca="false">M402*L402</f>
        <v>49715.1630204516</v>
      </c>
      <c r="O402" s="10" t="n">
        <f aca="false">M402-N402</f>
        <v>36506.0701055484</v>
      </c>
      <c r="P402" s="10" t="n">
        <f aca="false">O402-I402</f>
        <v>-4524.40009445161</v>
      </c>
      <c r="Q402" s="10" t="n">
        <f aca="false">(J402-D402)*(1-E402)*(1-F402)</f>
        <v>-3083.09556</v>
      </c>
      <c r="R402" s="10" t="n">
        <f aca="false">J402*(E402-K402)*(1-F402)</f>
        <v>-3458.8813896</v>
      </c>
      <c r="S402" s="10" t="n">
        <f aca="false">M402*(F402-L402)</f>
        <v>2017.5768551484</v>
      </c>
      <c r="T402" s="10" t="n">
        <f aca="false">ROUND(P402-(Q402+R402+S402),2)</f>
        <v>0</v>
      </c>
    </row>
    <row r="403" customFormat="false" ht="15" hidden="false" customHeight="true" outlineLevel="0" collapsed="false">
      <c r="A403" s="7" t="s">
        <v>60</v>
      </c>
      <c r="B403" s="7" t="s">
        <v>73</v>
      </c>
      <c r="C403" s="7" t="s">
        <v>70</v>
      </c>
      <c r="D403" s="8" t="n">
        <v>121114.64</v>
      </c>
      <c r="E403" s="9" t="n">
        <v>0.13</v>
      </c>
      <c r="F403" s="9" t="n">
        <v>0.6</v>
      </c>
      <c r="G403" s="10" t="n">
        <f aca="false">D403*(1-E403)</f>
        <v>105369.7368</v>
      </c>
      <c r="H403" s="10" t="n">
        <f aca="false">G403*F403</f>
        <v>63221.84208</v>
      </c>
      <c r="I403" s="10" t="n">
        <f aca="false">G403-H403</f>
        <v>42147.89472</v>
      </c>
      <c r="J403" s="8" t="n">
        <v>120491.75</v>
      </c>
      <c r="K403" s="9" t="n">
        <v>0.182</v>
      </c>
      <c r="L403" s="9" t="n">
        <v>0.6042</v>
      </c>
      <c r="M403" s="10" t="n">
        <f aca="false">J403*(1-K403)</f>
        <v>98562.2515</v>
      </c>
      <c r="N403" s="10" t="n">
        <f aca="false">M403*L403</f>
        <v>59551.3123563</v>
      </c>
      <c r="O403" s="10" t="n">
        <f aca="false">M403-N403</f>
        <v>39010.9391437</v>
      </c>
      <c r="P403" s="10" t="n">
        <f aca="false">O403-I403</f>
        <v>-3136.9555763</v>
      </c>
      <c r="Q403" s="10" t="n">
        <f aca="false">(J403-D403)*(1-E403)*(1-F403)</f>
        <v>-216.76572</v>
      </c>
      <c r="R403" s="10" t="n">
        <f aca="false">J403*(E403-K403)*(1-F403)</f>
        <v>-2506.2284</v>
      </c>
      <c r="S403" s="10" t="n">
        <f aca="false">M403*(F403-L403)</f>
        <v>-413.961456299998</v>
      </c>
      <c r="T403" s="10" t="n">
        <f aca="false">ROUND(P403-(Q403+R403+S403),2)</f>
        <v>0</v>
      </c>
    </row>
    <row r="404" customFormat="false" ht="15" hidden="false" customHeight="true" outlineLevel="0" collapsed="false">
      <c r="A404" s="7" t="s">
        <v>61</v>
      </c>
      <c r="B404" s="7" t="s">
        <v>73</v>
      </c>
      <c r="C404" s="7" t="s">
        <v>70</v>
      </c>
      <c r="D404" s="8" t="n">
        <v>119576.04</v>
      </c>
      <c r="E404" s="9" t="n">
        <v>0.13</v>
      </c>
      <c r="F404" s="9" t="n">
        <v>0.6</v>
      </c>
      <c r="G404" s="10" t="n">
        <f aca="false">D404*(1-E404)</f>
        <v>104031.1548</v>
      </c>
      <c r="H404" s="10" t="n">
        <f aca="false">G404*F404</f>
        <v>62418.69288</v>
      </c>
      <c r="I404" s="10" t="n">
        <f aca="false">G404-H404</f>
        <v>41612.46192</v>
      </c>
      <c r="J404" s="8" t="n">
        <v>123024.17</v>
      </c>
      <c r="K404" s="9" t="n">
        <v>0.1899</v>
      </c>
      <c r="L404" s="9" t="n">
        <v>0.5917</v>
      </c>
      <c r="M404" s="10" t="n">
        <f aca="false">J404*(1-K404)</f>
        <v>99661.880117</v>
      </c>
      <c r="N404" s="10" t="n">
        <f aca="false">M404*L404</f>
        <v>58969.9344652289</v>
      </c>
      <c r="O404" s="10" t="n">
        <f aca="false">M404-N404</f>
        <v>40691.9456517711</v>
      </c>
      <c r="P404" s="10" t="n">
        <f aca="false">O404-I404</f>
        <v>-920.516268228901</v>
      </c>
      <c r="Q404" s="10" t="n">
        <f aca="false">(J404-D404)*(1-E404)*(1-F404)</f>
        <v>1199.94924</v>
      </c>
      <c r="R404" s="10" t="n">
        <f aca="false">J404*(E404-K404)*(1-F404)</f>
        <v>-2947.6591132</v>
      </c>
      <c r="S404" s="10" t="n">
        <f aca="false">M404*(F404-L404)</f>
        <v>827.193604971097</v>
      </c>
      <c r="T404" s="10" t="n">
        <f aca="false">ROUND(P404-(Q404+R404+S404),2)</f>
        <v>0</v>
      </c>
    </row>
    <row r="405" customFormat="false" ht="15" hidden="false" customHeight="true" outlineLevel="0" collapsed="false">
      <c r="A405" s="7" t="s">
        <v>62</v>
      </c>
      <c r="B405" s="7" t="s">
        <v>73</v>
      </c>
      <c r="C405" s="7" t="s">
        <v>70</v>
      </c>
      <c r="D405" s="8" t="n">
        <v>124024.61</v>
      </c>
      <c r="E405" s="9" t="n">
        <v>0.13</v>
      </c>
      <c r="F405" s="9" t="n">
        <v>0.6</v>
      </c>
      <c r="G405" s="10" t="n">
        <f aca="false">D405*(1-E405)</f>
        <v>107901.4107</v>
      </c>
      <c r="H405" s="10" t="n">
        <f aca="false">G405*F405</f>
        <v>64740.84642</v>
      </c>
      <c r="I405" s="10" t="n">
        <f aca="false">G405-H405</f>
        <v>43160.56428</v>
      </c>
      <c r="J405" s="8" t="n">
        <v>118830.23</v>
      </c>
      <c r="K405" s="9" t="n">
        <v>0.1999</v>
      </c>
      <c r="L405" s="9" t="n">
        <v>0.6019</v>
      </c>
      <c r="M405" s="10" t="n">
        <f aca="false">J405*(1-K405)</f>
        <v>95076.067023</v>
      </c>
      <c r="N405" s="10" t="n">
        <f aca="false">M405*L405</f>
        <v>57226.2847411437</v>
      </c>
      <c r="O405" s="10" t="n">
        <f aca="false">M405-N405</f>
        <v>37849.7822818563</v>
      </c>
      <c r="P405" s="10" t="n">
        <f aca="false">O405-I405</f>
        <v>-5310.7819981437</v>
      </c>
      <c r="Q405" s="10" t="n">
        <f aca="false">(J405-D405)*(1-E405)*(1-F405)</f>
        <v>-1807.64424</v>
      </c>
      <c r="R405" s="10" t="n">
        <f aca="false">J405*(E405-K405)*(1-F405)</f>
        <v>-3322.4932308</v>
      </c>
      <c r="S405" s="10" t="n">
        <f aca="false">M405*(F405-L405)</f>
        <v>-180.644527343701</v>
      </c>
      <c r="T405" s="10" t="n">
        <f aca="false">ROUND(P405-(Q405+R405+S405),2)</f>
        <v>0</v>
      </c>
    </row>
    <row r="406" customFormat="false" ht="15" hidden="false" customHeight="true" outlineLevel="0" collapsed="false">
      <c r="A406" s="7" t="s">
        <v>63</v>
      </c>
      <c r="B406" s="7" t="s">
        <v>73</v>
      </c>
      <c r="C406" s="7" t="s">
        <v>70</v>
      </c>
      <c r="D406" s="8" t="n">
        <v>127310.86</v>
      </c>
      <c r="E406" s="9" t="n">
        <v>0.13</v>
      </c>
      <c r="F406" s="9" t="n">
        <v>0.6</v>
      </c>
      <c r="G406" s="10" t="n">
        <f aca="false">D406*(1-E406)</f>
        <v>110760.4482</v>
      </c>
      <c r="H406" s="10" t="n">
        <f aca="false">G406*F406</f>
        <v>66456.26892</v>
      </c>
      <c r="I406" s="10" t="n">
        <f aca="false">G406-H406</f>
        <v>44304.17928</v>
      </c>
      <c r="J406" s="8" t="n">
        <v>140224.34</v>
      </c>
      <c r="K406" s="9" t="n">
        <v>0.1839</v>
      </c>
      <c r="L406" s="9" t="n">
        <v>0.5922</v>
      </c>
      <c r="M406" s="10" t="n">
        <f aca="false">J406*(1-K406)</f>
        <v>114437.083874</v>
      </c>
      <c r="N406" s="10" t="n">
        <f aca="false">M406*L406</f>
        <v>67769.6410701828</v>
      </c>
      <c r="O406" s="10" t="n">
        <f aca="false">M406-N406</f>
        <v>46667.4428038172</v>
      </c>
      <c r="P406" s="10" t="n">
        <f aca="false">O406-I406</f>
        <v>2363.26352381721</v>
      </c>
      <c r="Q406" s="10" t="n">
        <f aca="false">(J406-D406)*(1-E406)*(1-F406)</f>
        <v>4493.89104</v>
      </c>
      <c r="R406" s="10" t="n">
        <f aca="false">J406*(E406-K406)*(1-F406)</f>
        <v>-3023.2367704</v>
      </c>
      <c r="S406" s="10" t="n">
        <f aca="false">M406*(F406-L406)</f>
        <v>892.609254217203</v>
      </c>
      <c r="T406" s="10" t="n">
        <f aca="false">ROUND(P406-(Q406+R406+S406),2)</f>
        <v>0</v>
      </c>
    </row>
    <row r="407" customFormat="false" ht="15" hidden="false" customHeight="true" outlineLevel="0" collapsed="false">
      <c r="A407" s="7" t="s">
        <v>64</v>
      </c>
      <c r="B407" s="7" t="s">
        <v>73</v>
      </c>
      <c r="C407" s="7" t="s">
        <v>70</v>
      </c>
      <c r="D407" s="8" t="n">
        <v>134293.09</v>
      </c>
      <c r="E407" s="9" t="n">
        <v>0.13</v>
      </c>
      <c r="F407" s="9" t="n">
        <v>0.6</v>
      </c>
      <c r="G407" s="10" t="n">
        <f aca="false">D407*(1-E407)</f>
        <v>116834.9883</v>
      </c>
      <c r="H407" s="10" t="n">
        <f aca="false">G407*F407</f>
        <v>70100.99298</v>
      </c>
      <c r="I407" s="10" t="n">
        <f aca="false">G407-H407</f>
        <v>46733.99532</v>
      </c>
      <c r="J407" s="8" t="n">
        <v>121141.54</v>
      </c>
      <c r="K407" s="9" t="n">
        <v>0.1857</v>
      </c>
      <c r="L407" s="9" t="n">
        <v>0.6</v>
      </c>
      <c r="M407" s="10" t="n">
        <f aca="false">J407*(1-K407)</f>
        <v>98645.556022</v>
      </c>
      <c r="N407" s="10" t="n">
        <f aca="false">M407*L407</f>
        <v>59187.3336132</v>
      </c>
      <c r="O407" s="10" t="n">
        <f aca="false">M407-N407</f>
        <v>39458.2224088</v>
      </c>
      <c r="P407" s="10" t="n">
        <f aca="false">O407-I407</f>
        <v>-7275.77291119999</v>
      </c>
      <c r="Q407" s="10" t="n">
        <f aca="false">(J407-D407)*(1-E407)*(1-F407)</f>
        <v>-4576.7394</v>
      </c>
      <c r="R407" s="10" t="n">
        <f aca="false">J407*(E407-K407)*(1-F407)</f>
        <v>-2699.0335112</v>
      </c>
      <c r="S407" s="10" t="n">
        <f aca="false">M407*(F407-L407)</f>
        <v>0</v>
      </c>
      <c r="T407" s="10" t="n">
        <f aca="false">ROUND(P407-(Q407+R407+S407),2)</f>
        <v>0</v>
      </c>
    </row>
    <row r="408" customFormat="false" ht="15" hidden="false" customHeight="true" outlineLevel="0" collapsed="false">
      <c r="A408" s="7" t="s">
        <v>65</v>
      </c>
      <c r="B408" s="7" t="s">
        <v>73</v>
      </c>
      <c r="C408" s="7" t="s">
        <v>70</v>
      </c>
      <c r="D408" s="8" t="n">
        <v>159797.08</v>
      </c>
      <c r="E408" s="9" t="n">
        <v>0.13</v>
      </c>
      <c r="F408" s="9" t="n">
        <v>0.6</v>
      </c>
      <c r="G408" s="10" t="n">
        <f aca="false">D408*(1-E408)</f>
        <v>139023.4596</v>
      </c>
      <c r="H408" s="10" t="n">
        <f aca="false">G408*F408</f>
        <v>83414.07576</v>
      </c>
      <c r="I408" s="10" t="n">
        <f aca="false">G408-H408</f>
        <v>55609.38384</v>
      </c>
      <c r="J408" s="8" t="n">
        <v>162605.21</v>
      </c>
      <c r="K408" s="9" t="n">
        <v>0.2063</v>
      </c>
      <c r="L408" s="9" t="n">
        <v>0.5934</v>
      </c>
      <c r="M408" s="10" t="n">
        <f aca="false">J408*(1-K408)</f>
        <v>129059.755177</v>
      </c>
      <c r="N408" s="10" t="n">
        <f aca="false">M408*L408</f>
        <v>76584.0587220318</v>
      </c>
      <c r="O408" s="10" t="n">
        <f aca="false">M408-N408</f>
        <v>52475.6964549682</v>
      </c>
      <c r="P408" s="10" t="n">
        <f aca="false">O408-I408</f>
        <v>-3133.68738503182</v>
      </c>
      <c r="Q408" s="10" t="n">
        <f aca="false">(J408-D408)*(1-E408)*(1-F408)</f>
        <v>977.229240000002</v>
      </c>
      <c r="R408" s="10" t="n">
        <f aca="false">J408*(E408-K408)*(1-F408)</f>
        <v>-4962.7110092</v>
      </c>
      <c r="S408" s="10" t="n">
        <f aca="false">M408*(F408-L408)</f>
        <v>851.794384168192</v>
      </c>
      <c r="T408" s="10" t="n">
        <f aca="false">ROUND(P408-(Q408+R408+S408),2)</f>
        <v>-0</v>
      </c>
    </row>
    <row r="409" customFormat="false" ht="15" hidden="false" customHeight="true" outlineLevel="0" collapsed="false">
      <c r="A409" s="7" t="s">
        <v>66</v>
      </c>
      <c r="B409" s="7" t="s">
        <v>73</v>
      </c>
      <c r="C409" s="7" t="s">
        <v>70</v>
      </c>
      <c r="D409" s="8" t="n">
        <v>150983.57</v>
      </c>
      <c r="E409" s="9" t="n">
        <v>0.13</v>
      </c>
      <c r="F409" s="9" t="n">
        <v>0.6</v>
      </c>
      <c r="G409" s="10" t="n">
        <f aca="false">D409*(1-E409)</f>
        <v>131355.7059</v>
      </c>
      <c r="H409" s="10" t="n">
        <f aca="false">G409*F409</f>
        <v>78813.42354</v>
      </c>
      <c r="I409" s="10" t="n">
        <f aca="false">G409-H409</f>
        <v>52542.28236</v>
      </c>
      <c r="J409" s="8" t="n">
        <v>146062.37</v>
      </c>
      <c r="K409" s="9" t="n">
        <v>0.1812</v>
      </c>
      <c r="L409" s="9" t="n">
        <v>0.6076</v>
      </c>
      <c r="M409" s="10" t="n">
        <f aca="false">J409*(1-K409)</f>
        <v>119595.868556</v>
      </c>
      <c r="N409" s="10" t="n">
        <f aca="false">M409*L409</f>
        <v>72666.4497346256</v>
      </c>
      <c r="O409" s="10" t="n">
        <f aca="false">M409-N409</f>
        <v>46929.4188213744</v>
      </c>
      <c r="P409" s="10" t="n">
        <f aca="false">O409-I409</f>
        <v>-5612.86353862561</v>
      </c>
      <c r="Q409" s="10" t="n">
        <f aca="false">(J409-D409)*(1-E409)*(1-F409)</f>
        <v>-1712.5776</v>
      </c>
      <c r="R409" s="10" t="n">
        <f aca="false">J409*(E409-K409)*(1-F409)</f>
        <v>-2991.3573376</v>
      </c>
      <c r="S409" s="10" t="n">
        <f aca="false">M409*(F409-L409)</f>
        <v>-908.928601025606</v>
      </c>
      <c r="T409" s="10" t="n">
        <f aca="false">ROUND(P409-(Q409+R409+S409),2)</f>
        <v>0</v>
      </c>
    </row>
    <row r="410" customFormat="false" ht="15" hidden="false" customHeight="true" outlineLevel="0" collapsed="false">
      <c r="A410" s="7" t="s">
        <v>41</v>
      </c>
      <c r="B410" s="7" t="s">
        <v>73</v>
      </c>
      <c r="C410" s="7" t="s">
        <v>71</v>
      </c>
      <c r="D410" s="8" t="n">
        <v>82023.03</v>
      </c>
      <c r="E410" s="9" t="n">
        <v>0.09</v>
      </c>
      <c r="F410" s="9" t="n">
        <v>0.56</v>
      </c>
      <c r="G410" s="10" t="n">
        <f aca="false">D410*(1-E410)</f>
        <v>74640.9573</v>
      </c>
      <c r="H410" s="10" t="n">
        <f aca="false">G410*F410</f>
        <v>41798.936088</v>
      </c>
      <c r="I410" s="10" t="n">
        <f aca="false">G410-H410</f>
        <v>32842.021212</v>
      </c>
      <c r="J410" s="8" t="n">
        <v>87177.7</v>
      </c>
      <c r="K410" s="9" t="n">
        <v>0.0839</v>
      </c>
      <c r="L410" s="9" t="n">
        <v>0.5531</v>
      </c>
      <c r="M410" s="10" t="n">
        <f aca="false">J410*(1-K410)</f>
        <v>79863.49097</v>
      </c>
      <c r="N410" s="10" t="n">
        <f aca="false">M410*L410</f>
        <v>44172.496855507</v>
      </c>
      <c r="O410" s="10" t="n">
        <f aca="false">M410-N410</f>
        <v>35690.994114493</v>
      </c>
      <c r="P410" s="10" t="n">
        <f aca="false">O410-I410</f>
        <v>2848.97290249301</v>
      </c>
      <c r="Q410" s="10" t="n">
        <f aca="false">(J410-D410)*(1-E410)*(1-F410)</f>
        <v>2063.929868</v>
      </c>
      <c r="R410" s="10" t="n">
        <f aca="false">J410*(E410-K410)*(1-F410)</f>
        <v>233.9849468</v>
      </c>
      <c r="S410" s="10" t="n">
        <f aca="false">M410*(F410-L410)</f>
        <v>551.058087693001</v>
      </c>
      <c r="T410" s="10" t="n">
        <f aca="false">ROUND(P410-(Q410+R410+S410),2)</f>
        <v>0</v>
      </c>
    </row>
    <row r="411" customFormat="false" ht="15" hidden="false" customHeight="true" outlineLevel="0" collapsed="false">
      <c r="A411" s="7" t="s">
        <v>44</v>
      </c>
      <c r="B411" s="7" t="s">
        <v>73</v>
      </c>
      <c r="C411" s="7" t="s">
        <v>71</v>
      </c>
      <c r="D411" s="8" t="n">
        <v>80841.9</v>
      </c>
      <c r="E411" s="9" t="n">
        <v>0.09</v>
      </c>
      <c r="F411" s="9" t="n">
        <v>0.56</v>
      </c>
      <c r="G411" s="10" t="n">
        <f aca="false">D411*(1-E411)</f>
        <v>73566.129</v>
      </c>
      <c r="H411" s="10" t="n">
        <f aca="false">G411*F411</f>
        <v>41197.03224</v>
      </c>
      <c r="I411" s="10" t="n">
        <f aca="false">G411-H411</f>
        <v>32369.09676</v>
      </c>
      <c r="J411" s="8" t="n">
        <v>83341.85</v>
      </c>
      <c r="K411" s="9" t="n">
        <v>0.0835</v>
      </c>
      <c r="L411" s="9" t="n">
        <v>0.5575</v>
      </c>
      <c r="M411" s="10" t="n">
        <f aca="false">J411*(1-K411)</f>
        <v>76382.805525</v>
      </c>
      <c r="N411" s="10" t="n">
        <f aca="false">M411*L411</f>
        <v>42583.4140801875</v>
      </c>
      <c r="O411" s="10" t="n">
        <f aca="false">M411-N411</f>
        <v>33799.3914448125</v>
      </c>
      <c r="P411" s="10" t="n">
        <f aca="false">O411-I411</f>
        <v>1430.29468481251</v>
      </c>
      <c r="Q411" s="10" t="n">
        <f aca="false">(J411-D411)*(1-E411)*(1-F411)</f>
        <v>1000.97998</v>
      </c>
      <c r="R411" s="10" t="n">
        <f aca="false">J411*(E411-K411)*(1-F411)</f>
        <v>238.357691</v>
      </c>
      <c r="S411" s="10" t="n">
        <f aca="false">M411*(F411-L411)</f>
        <v>190.957013812504</v>
      </c>
      <c r="T411" s="10" t="n">
        <f aca="false">ROUND(P411-(Q411+R411+S411),2)</f>
        <v>0</v>
      </c>
    </row>
    <row r="412" customFormat="false" ht="15" hidden="false" customHeight="true" outlineLevel="0" collapsed="false">
      <c r="A412" s="7" t="s">
        <v>45</v>
      </c>
      <c r="B412" s="7" t="s">
        <v>73</v>
      </c>
      <c r="C412" s="7" t="s">
        <v>71</v>
      </c>
      <c r="D412" s="8" t="n">
        <v>87965.14</v>
      </c>
      <c r="E412" s="9" t="n">
        <v>0.09</v>
      </c>
      <c r="F412" s="9" t="n">
        <v>0.56</v>
      </c>
      <c r="G412" s="10" t="n">
        <f aca="false">D412*(1-E412)</f>
        <v>80048.2774</v>
      </c>
      <c r="H412" s="10" t="n">
        <f aca="false">G412*F412</f>
        <v>44827.035344</v>
      </c>
      <c r="I412" s="10" t="n">
        <f aca="false">G412-H412</f>
        <v>35221.242056</v>
      </c>
      <c r="J412" s="8" t="n">
        <v>89481.31</v>
      </c>
      <c r="K412" s="9" t="n">
        <v>0.1022</v>
      </c>
      <c r="L412" s="9" t="n">
        <v>0.5611</v>
      </c>
      <c r="M412" s="10" t="n">
        <f aca="false">J412*(1-K412)</f>
        <v>80336.320118</v>
      </c>
      <c r="N412" s="10" t="n">
        <f aca="false">M412*L412</f>
        <v>45076.7092182098</v>
      </c>
      <c r="O412" s="10" t="n">
        <f aca="false">M412-N412</f>
        <v>35259.6108997902</v>
      </c>
      <c r="P412" s="10" t="n">
        <f aca="false">O412-I412</f>
        <v>38.3688437902019</v>
      </c>
      <c r="Q412" s="10" t="n">
        <f aca="false">(J412-D412)*(1-E412)*(1-F412)</f>
        <v>607.074467999999</v>
      </c>
      <c r="R412" s="10" t="n">
        <f aca="false">J412*(E412-K412)*(1-F412)</f>
        <v>-480.33567208</v>
      </c>
      <c r="S412" s="10" t="n">
        <f aca="false">M412*(F412-L412)</f>
        <v>-88.3699521297992</v>
      </c>
      <c r="T412" s="10" t="n">
        <f aca="false">ROUND(P412-(Q412+R412+S412),2)</f>
        <v>0</v>
      </c>
    </row>
    <row r="413" customFormat="false" ht="15" hidden="false" customHeight="true" outlineLevel="0" collapsed="false">
      <c r="A413" s="7" t="s">
        <v>46</v>
      </c>
      <c r="B413" s="7" t="s">
        <v>73</v>
      </c>
      <c r="C413" s="7" t="s">
        <v>71</v>
      </c>
      <c r="D413" s="8" t="n">
        <v>91457.5</v>
      </c>
      <c r="E413" s="9" t="n">
        <v>0.09</v>
      </c>
      <c r="F413" s="9" t="n">
        <v>0.56</v>
      </c>
      <c r="G413" s="10" t="n">
        <f aca="false">D413*(1-E413)</f>
        <v>83226.325</v>
      </c>
      <c r="H413" s="10" t="n">
        <f aca="false">G413*F413</f>
        <v>46606.742</v>
      </c>
      <c r="I413" s="10" t="n">
        <f aca="false">G413-H413</f>
        <v>36619.583</v>
      </c>
      <c r="J413" s="8" t="n">
        <v>88939.53</v>
      </c>
      <c r="K413" s="9" t="n">
        <v>0.0853</v>
      </c>
      <c r="L413" s="9" t="n">
        <v>0.5508</v>
      </c>
      <c r="M413" s="10" t="n">
        <f aca="false">J413*(1-K413)</f>
        <v>81352.988091</v>
      </c>
      <c r="N413" s="10" t="n">
        <f aca="false">M413*L413</f>
        <v>44809.2258405228</v>
      </c>
      <c r="O413" s="10" t="n">
        <f aca="false">M413-N413</f>
        <v>36543.7622504772</v>
      </c>
      <c r="P413" s="10" t="n">
        <f aca="false">O413-I413</f>
        <v>-75.8207495227907</v>
      </c>
      <c r="Q413" s="10" t="n">
        <f aca="false">(J413-D413)*(1-E413)*(1-F413)</f>
        <v>-1008.195188</v>
      </c>
      <c r="R413" s="10" t="n">
        <f aca="false">J413*(E413-K413)*(1-F413)</f>
        <v>183.92694804</v>
      </c>
      <c r="S413" s="10" t="n">
        <f aca="false">M413*(F413-L413)</f>
        <v>748.447490437208</v>
      </c>
      <c r="T413" s="10" t="n">
        <f aca="false">ROUND(P413-(Q413+R413+S413),2)</f>
        <v>0</v>
      </c>
    </row>
    <row r="414" customFormat="false" ht="15" hidden="false" customHeight="true" outlineLevel="0" collapsed="false">
      <c r="A414" s="7" t="s">
        <v>47</v>
      </c>
      <c r="B414" s="7" t="s">
        <v>73</v>
      </c>
      <c r="C414" s="7" t="s">
        <v>71</v>
      </c>
      <c r="D414" s="8" t="n">
        <v>94053.08</v>
      </c>
      <c r="E414" s="9" t="n">
        <v>0.09</v>
      </c>
      <c r="F414" s="9" t="n">
        <v>0.56</v>
      </c>
      <c r="G414" s="10" t="n">
        <f aca="false">D414*(1-E414)</f>
        <v>85588.3028</v>
      </c>
      <c r="H414" s="10" t="n">
        <f aca="false">G414*F414</f>
        <v>47929.449568</v>
      </c>
      <c r="I414" s="10" t="n">
        <f aca="false">G414-H414</f>
        <v>37658.853232</v>
      </c>
      <c r="J414" s="8" t="n">
        <v>90387.88</v>
      </c>
      <c r="K414" s="9" t="n">
        <v>0.0921</v>
      </c>
      <c r="L414" s="9" t="n">
        <v>0.5633</v>
      </c>
      <c r="M414" s="10" t="n">
        <f aca="false">J414*(1-K414)</f>
        <v>82063.156252</v>
      </c>
      <c r="N414" s="10" t="n">
        <f aca="false">M414*L414</f>
        <v>46226.1759167516</v>
      </c>
      <c r="O414" s="10" t="n">
        <f aca="false">M414-N414</f>
        <v>35836.9803352484</v>
      </c>
      <c r="P414" s="10" t="n">
        <f aca="false">O414-I414</f>
        <v>-1821.87289675159</v>
      </c>
      <c r="Q414" s="10" t="n">
        <f aca="false">(J414-D414)*(1-E414)*(1-F414)</f>
        <v>-1467.54608</v>
      </c>
      <c r="R414" s="10" t="n">
        <f aca="false">J414*(E414-K414)*(1-F414)</f>
        <v>-83.5184011200002</v>
      </c>
      <c r="S414" s="10" t="n">
        <f aca="false">M414*(F414-L414)</f>
        <v>-270.808415631598</v>
      </c>
      <c r="T414" s="10" t="n">
        <f aca="false">ROUND(P414-(Q414+R414+S414),2)</f>
        <v>0</v>
      </c>
    </row>
    <row r="415" customFormat="false" ht="15" hidden="false" customHeight="true" outlineLevel="0" collapsed="false">
      <c r="A415" s="7" t="s">
        <v>48</v>
      </c>
      <c r="B415" s="7" t="s">
        <v>73</v>
      </c>
      <c r="C415" s="7" t="s">
        <v>71</v>
      </c>
      <c r="D415" s="8" t="n">
        <v>96677.81</v>
      </c>
      <c r="E415" s="9" t="n">
        <v>0.09</v>
      </c>
      <c r="F415" s="9" t="n">
        <v>0.56</v>
      </c>
      <c r="G415" s="10" t="n">
        <f aca="false">D415*(1-E415)</f>
        <v>87976.8071</v>
      </c>
      <c r="H415" s="10" t="n">
        <f aca="false">G415*F415</f>
        <v>49267.011976</v>
      </c>
      <c r="I415" s="10" t="n">
        <f aca="false">G415-H415</f>
        <v>38709.795124</v>
      </c>
      <c r="J415" s="8" t="n">
        <v>102527.73</v>
      </c>
      <c r="K415" s="9" t="n">
        <v>0.0829</v>
      </c>
      <c r="L415" s="9" t="n">
        <v>0.5607</v>
      </c>
      <c r="M415" s="10" t="n">
        <f aca="false">J415*(1-K415)</f>
        <v>94028.181183</v>
      </c>
      <c r="N415" s="10" t="n">
        <f aca="false">M415*L415</f>
        <v>52721.6011893081</v>
      </c>
      <c r="O415" s="10" t="n">
        <f aca="false">M415-N415</f>
        <v>41306.5799936919</v>
      </c>
      <c r="P415" s="10" t="n">
        <f aca="false">O415-I415</f>
        <v>2596.7848696919</v>
      </c>
      <c r="Q415" s="10" t="n">
        <f aca="false">(J415-D415)*(1-E415)*(1-F415)</f>
        <v>2342.307968</v>
      </c>
      <c r="R415" s="10" t="n">
        <f aca="false">J415*(E415-K415)*(1-F415)</f>
        <v>320.29662852</v>
      </c>
      <c r="S415" s="10" t="n">
        <f aca="false">M415*(F415-L415)</f>
        <v>-65.8197268280927</v>
      </c>
      <c r="T415" s="10" t="n">
        <f aca="false">ROUND(P415-(Q415+R415+S415),2)</f>
        <v>0</v>
      </c>
    </row>
    <row r="416" customFormat="false" ht="15" hidden="false" customHeight="true" outlineLevel="0" collapsed="false">
      <c r="A416" s="7" t="s">
        <v>49</v>
      </c>
      <c r="B416" s="7" t="s">
        <v>73</v>
      </c>
      <c r="C416" s="7" t="s">
        <v>71</v>
      </c>
      <c r="D416" s="8" t="n">
        <v>95511.26</v>
      </c>
      <c r="E416" s="9" t="n">
        <v>0.09</v>
      </c>
      <c r="F416" s="9" t="n">
        <v>0.56</v>
      </c>
      <c r="G416" s="10" t="n">
        <f aca="false">D416*(1-E416)</f>
        <v>86915.2466</v>
      </c>
      <c r="H416" s="10" t="n">
        <f aca="false">G416*F416</f>
        <v>48672.538096</v>
      </c>
      <c r="I416" s="10" t="n">
        <f aca="false">G416-H416</f>
        <v>38242.708504</v>
      </c>
      <c r="J416" s="8" t="n">
        <v>92214.42</v>
      </c>
      <c r="K416" s="9" t="n">
        <v>0.0816</v>
      </c>
      <c r="L416" s="9" t="n">
        <v>0.5664</v>
      </c>
      <c r="M416" s="10" t="n">
        <f aca="false">J416*(1-K416)</f>
        <v>84689.723328</v>
      </c>
      <c r="N416" s="10" t="n">
        <f aca="false">M416*L416</f>
        <v>47968.2592929792</v>
      </c>
      <c r="O416" s="10" t="n">
        <f aca="false">M416-N416</f>
        <v>36721.4640350208</v>
      </c>
      <c r="P416" s="10" t="n">
        <f aca="false">O416-I416</f>
        <v>-1521.2444689792</v>
      </c>
      <c r="Q416" s="10" t="n">
        <f aca="false">(J416-D416)*(1-E416)*(1-F416)</f>
        <v>-1320.054736</v>
      </c>
      <c r="R416" s="10" t="n">
        <f aca="false">J416*(E416-K416)*(1-F416)</f>
        <v>340.82449632</v>
      </c>
      <c r="S416" s="10" t="n">
        <f aca="false">M416*(F416-L416)</f>
        <v>-542.014229299197</v>
      </c>
      <c r="T416" s="10" t="n">
        <f aca="false">ROUND(P416-(Q416+R416+S416),2)</f>
        <v>0</v>
      </c>
    </row>
    <row r="417" customFormat="false" ht="15" hidden="false" customHeight="true" outlineLevel="0" collapsed="false">
      <c r="A417" s="7" t="s">
        <v>50</v>
      </c>
      <c r="B417" s="7" t="s">
        <v>73</v>
      </c>
      <c r="C417" s="7" t="s">
        <v>71</v>
      </c>
      <c r="D417" s="8" t="n">
        <v>99127.57</v>
      </c>
      <c r="E417" s="9" t="n">
        <v>0.09</v>
      </c>
      <c r="F417" s="9" t="n">
        <v>0.56</v>
      </c>
      <c r="G417" s="10" t="n">
        <f aca="false">D417*(1-E417)</f>
        <v>90206.0887</v>
      </c>
      <c r="H417" s="10" t="n">
        <f aca="false">G417*F417</f>
        <v>50515.409672</v>
      </c>
      <c r="I417" s="10" t="n">
        <f aca="false">G417-H417</f>
        <v>39690.679028</v>
      </c>
      <c r="J417" s="8" t="n">
        <v>98062.71</v>
      </c>
      <c r="K417" s="9" t="n">
        <v>0.0869</v>
      </c>
      <c r="L417" s="9" t="n">
        <v>0.5642</v>
      </c>
      <c r="M417" s="10" t="n">
        <f aca="false">J417*(1-K417)</f>
        <v>89541.060501</v>
      </c>
      <c r="N417" s="10" t="n">
        <f aca="false">M417*L417</f>
        <v>50519.0663346642</v>
      </c>
      <c r="O417" s="10" t="n">
        <f aca="false">M417-N417</f>
        <v>39021.9941663358</v>
      </c>
      <c r="P417" s="10" t="n">
        <f aca="false">O417-I417</f>
        <v>-668.684861664195</v>
      </c>
      <c r="Q417" s="10" t="n">
        <f aca="false">(J417-D417)*(1-E417)*(1-F417)</f>
        <v>-426.369944</v>
      </c>
      <c r="R417" s="10" t="n">
        <f aca="false">J417*(E417-K417)*(1-F417)</f>
        <v>133.75753644</v>
      </c>
      <c r="S417" s="10" t="n">
        <f aca="false">M417*(F417-L417)</f>
        <v>-376.072454104198</v>
      </c>
      <c r="T417" s="10" t="n">
        <f aca="false">ROUND(P417-(Q417+R417+S417),2)</f>
        <v>0</v>
      </c>
    </row>
    <row r="418" customFormat="false" ht="15" hidden="false" customHeight="true" outlineLevel="0" collapsed="false">
      <c r="A418" s="7" t="s">
        <v>51</v>
      </c>
      <c r="B418" s="7" t="s">
        <v>73</v>
      </c>
      <c r="C418" s="7" t="s">
        <v>71</v>
      </c>
      <c r="D418" s="8" t="n">
        <v>101817.92</v>
      </c>
      <c r="E418" s="9" t="n">
        <v>0.09</v>
      </c>
      <c r="F418" s="9" t="n">
        <v>0.56</v>
      </c>
      <c r="G418" s="10" t="n">
        <f aca="false">D418*(1-E418)</f>
        <v>92654.3072</v>
      </c>
      <c r="H418" s="10" t="n">
        <f aca="false">G418*F418</f>
        <v>51886.412032</v>
      </c>
      <c r="I418" s="10" t="n">
        <f aca="false">G418-H418</f>
        <v>40767.895168</v>
      </c>
      <c r="J418" s="8" t="n">
        <v>96649.4</v>
      </c>
      <c r="K418" s="9" t="n">
        <v>0.0799</v>
      </c>
      <c r="L418" s="9" t="n">
        <v>0.5485</v>
      </c>
      <c r="M418" s="10" t="n">
        <f aca="false">J418*(1-K418)</f>
        <v>88927.11294</v>
      </c>
      <c r="N418" s="10" t="n">
        <f aca="false">M418*L418</f>
        <v>48776.52144759</v>
      </c>
      <c r="O418" s="10" t="n">
        <f aca="false">M418-N418</f>
        <v>40150.59149241</v>
      </c>
      <c r="P418" s="10" t="n">
        <f aca="false">O418-I418</f>
        <v>-617.303675589996</v>
      </c>
      <c r="Q418" s="10" t="n">
        <f aca="false">(J418-D418)*(1-E418)*(1-F418)</f>
        <v>-2069.475408</v>
      </c>
      <c r="R418" s="10" t="n">
        <f aca="false">J418*(E418-K418)*(1-F418)</f>
        <v>429.5099336</v>
      </c>
      <c r="S418" s="10" t="n">
        <f aca="false">M418*(F418-L418)</f>
        <v>1022.66179881001</v>
      </c>
      <c r="T418" s="10" t="n">
        <f aca="false">ROUND(P418-(Q418+R418+S418),2)</f>
        <v>0</v>
      </c>
    </row>
    <row r="419" customFormat="false" ht="15" hidden="false" customHeight="true" outlineLevel="0" collapsed="false">
      <c r="A419" s="7" t="s">
        <v>52</v>
      </c>
      <c r="B419" s="7" t="s">
        <v>73</v>
      </c>
      <c r="C419" s="7" t="s">
        <v>71</v>
      </c>
      <c r="D419" s="8" t="n">
        <v>107468.4</v>
      </c>
      <c r="E419" s="9" t="n">
        <v>0.09</v>
      </c>
      <c r="F419" s="9" t="n">
        <v>0.56</v>
      </c>
      <c r="G419" s="10" t="n">
        <f aca="false">D419*(1-E419)</f>
        <v>97796.244</v>
      </c>
      <c r="H419" s="10" t="n">
        <f aca="false">G419*F419</f>
        <v>54765.89664</v>
      </c>
      <c r="I419" s="10" t="n">
        <f aca="false">G419-H419</f>
        <v>43030.34736</v>
      </c>
      <c r="J419" s="8" t="n">
        <v>106041.58</v>
      </c>
      <c r="K419" s="9" t="n">
        <v>0.1017</v>
      </c>
      <c r="L419" s="9" t="n">
        <v>0.5661</v>
      </c>
      <c r="M419" s="10" t="n">
        <f aca="false">J419*(1-K419)</f>
        <v>95257.151314</v>
      </c>
      <c r="N419" s="10" t="n">
        <f aca="false">M419*L419</f>
        <v>53925.0733588554</v>
      </c>
      <c r="O419" s="10" t="n">
        <f aca="false">M419-N419</f>
        <v>41332.0779551446</v>
      </c>
      <c r="P419" s="10" t="n">
        <f aca="false">O419-I419</f>
        <v>-1698.2694048554</v>
      </c>
      <c r="Q419" s="10" t="n">
        <f aca="false">(J419-D419)*(1-E419)*(1-F419)</f>
        <v>-571.298727999997</v>
      </c>
      <c r="R419" s="10" t="n">
        <f aca="false">J419*(E419-K419)*(1-F419)</f>
        <v>-545.90205384</v>
      </c>
      <c r="S419" s="10" t="n">
        <f aca="false">M419*(F419-L419)</f>
        <v>-581.0686230154</v>
      </c>
      <c r="T419" s="10" t="n">
        <f aca="false">ROUND(P419-(Q419+R419+S419),2)</f>
        <v>0</v>
      </c>
    </row>
    <row r="420" customFormat="false" ht="15" hidden="false" customHeight="true" outlineLevel="0" collapsed="false">
      <c r="A420" s="7" t="s">
        <v>53</v>
      </c>
      <c r="B420" s="7" t="s">
        <v>73</v>
      </c>
      <c r="C420" s="7" t="s">
        <v>71</v>
      </c>
      <c r="D420" s="8" t="n">
        <v>127955.93</v>
      </c>
      <c r="E420" s="9" t="n">
        <v>0.09</v>
      </c>
      <c r="F420" s="9" t="n">
        <v>0.56</v>
      </c>
      <c r="G420" s="10" t="n">
        <f aca="false">D420*(1-E420)</f>
        <v>116439.8963</v>
      </c>
      <c r="H420" s="10" t="n">
        <f aca="false">G420*F420</f>
        <v>65206.341928</v>
      </c>
      <c r="I420" s="10" t="n">
        <f aca="false">G420-H420</f>
        <v>51233.554372</v>
      </c>
      <c r="J420" s="8" t="n">
        <v>113082.51</v>
      </c>
      <c r="K420" s="9" t="n">
        <v>0.0811</v>
      </c>
      <c r="L420" s="9" t="n">
        <v>0.5616</v>
      </c>
      <c r="M420" s="10" t="n">
        <f aca="false">J420*(1-K420)</f>
        <v>103911.518439</v>
      </c>
      <c r="N420" s="10" t="n">
        <f aca="false">M420*L420</f>
        <v>58356.7087553424</v>
      </c>
      <c r="O420" s="10" t="n">
        <f aca="false">M420-N420</f>
        <v>45554.8096836576</v>
      </c>
      <c r="P420" s="10" t="n">
        <f aca="false">O420-I420</f>
        <v>-5678.74468834238</v>
      </c>
      <c r="Q420" s="10" t="n">
        <f aca="false">(J420-D420)*(1-E420)*(1-F420)</f>
        <v>-5955.317368</v>
      </c>
      <c r="R420" s="10" t="n">
        <f aca="false">J420*(E420-K420)*(1-F420)</f>
        <v>442.83110916</v>
      </c>
      <c r="S420" s="10" t="n">
        <f aca="false">M420*(F420-L420)</f>
        <v>-166.258429502393</v>
      </c>
      <c r="T420" s="10" t="n">
        <f aca="false">ROUND(P420-(Q420+R420+S420),2)</f>
        <v>0</v>
      </c>
    </row>
    <row r="421" customFormat="false" ht="15" hidden="false" customHeight="true" outlineLevel="0" collapsed="false">
      <c r="A421" s="7" t="s">
        <v>54</v>
      </c>
      <c r="B421" s="7" t="s">
        <v>73</v>
      </c>
      <c r="C421" s="7" t="s">
        <v>71</v>
      </c>
      <c r="D421" s="8" t="n">
        <v>120971.21</v>
      </c>
      <c r="E421" s="9" t="n">
        <v>0.09</v>
      </c>
      <c r="F421" s="9" t="n">
        <v>0.56</v>
      </c>
      <c r="G421" s="10" t="n">
        <f aca="false">D421*(1-E421)</f>
        <v>110083.8011</v>
      </c>
      <c r="H421" s="10" t="n">
        <f aca="false">G421*F421</f>
        <v>61646.928616</v>
      </c>
      <c r="I421" s="10" t="n">
        <f aca="false">G421-H421</f>
        <v>48436.872484</v>
      </c>
      <c r="J421" s="8" t="n">
        <v>133537.01</v>
      </c>
      <c r="K421" s="9" t="n">
        <v>0.0871</v>
      </c>
      <c r="L421" s="9" t="n">
        <v>0.5663</v>
      </c>
      <c r="M421" s="10" t="n">
        <f aca="false">J421*(1-K421)</f>
        <v>121905.936429</v>
      </c>
      <c r="N421" s="10" t="n">
        <f aca="false">M421*L421</f>
        <v>69035.3317997427</v>
      </c>
      <c r="O421" s="10" t="n">
        <f aca="false">M421-N421</f>
        <v>52870.6046292573</v>
      </c>
      <c r="P421" s="10" t="n">
        <f aca="false">O421-I421</f>
        <v>4433.7321452573</v>
      </c>
      <c r="Q421" s="10" t="n">
        <f aca="false">(J421-D421)*(1-E421)*(1-F421)</f>
        <v>5031.34632</v>
      </c>
      <c r="R421" s="10" t="n">
        <f aca="false">J421*(E421-K421)*(1-F421)</f>
        <v>170.39322476</v>
      </c>
      <c r="S421" s="10" t="n">
        <f aca="false">M421*(F421-L421)</f>
        <v>-768.007399502697</v>
      </c>
      <c r="T421" s="10" t="n">
        <f aca="false">ROUND(P421-(Q421+R421+S421),2)</f>
        <v>0</v>
      </c>
    </row>
    <row r="422" customFormat="false" ht="15" hidden="false" customHeight="true" outlineLevel="0" collapsed="false">
      <c r="A422" s="7" t="s">
        <v>55</v>
      </c>
      <c r="B422" s="7" t="s">
        <v>73</v>
      </c>
      <c r="C422" s="7" t="s">
        <v>71</v>
      </c>
      <c r="D422" s="8" t="n">
        <v>89897.24</v>
      </c>
      <c r="E422" s="9" t="n">
        <v>0.09</v>
      </c>
      <c r="F422" s="9" t="n">
        <v>0.56</v>
      </c>
      <c r="G422" s="10" t="n">
        <f aca="false">D422*(1-E422)</f>
        <v>81806.4884</v>
      </c>
      <c r="H422" s="10" t="n">
        <f aca="false">G422*F422</f>
        <v>45811.633504</v>
      </c>
      <c r="I422" s="10" t="n">
        <f aca="false">G422-H422</f>
        <v>35994.854896</v>
      </c>
      <c r="J422" s="8" t="n">
        <v>95554.26</v>
      </c>
      <c r="K422" s="9" t="n">
        <v>0.1028</v>
      </c>
      <c r="L422" s="9" t="n">
        <v>0.5616</v>
      </c>
      <c r="M422" s="10" t="n">
        <f aca="false">J422*(1-K422)</f>
        <v>85731.282072</v>
      </c>
      <c r="N422" s="10" t="n">
        <f aca="false">M422*L422</f>
        <v>48146.6880116352</v>
      </c>
      <c r="O422" s="10" t="n">
        <f aca="false">M422-N422</f>
        <v>37584.5940603648</v>
      </c>
      <c r="P422" s="10" t="n">
        <f aca="false">O422-I422</f>
        <v>1589.73916436481</v>
      </c>
      <c r="Q422" s="10" t="n">
        <f aca="false">(J422-D422)*(1-E422)*(1-F422)</f>
        <v>2265.070808</v>
      </c>
      <c r="R422" s="10" t="n">
        <f aca="false">J422*(E422-K422)*(1-F422)</f>
        <v>-538.16159232</v>
      </c>
      <c r="S422" s="10" t="n">
        <f aca="false">M422*(F422-L422)</f>
        <v>-137.170051315194</v>
      </c>
      <c r="T422" s="10" t="n">
        <f aca="false">ROUND(P422-(Q422+R422+S422),2)</f>
        <v>0</v>
      </c>
    </row>
    <row r="423" customFormat="false" ht="15" hidden="false" customHeight="true" outlineLevel="0" collapsed="false">
      <c r="A423" s="7" t="s">
        <v>56</v>
      </c>
      <c r="B423" s="7" t="s">
        <v>73</v>
      </c>
      <c r="C423" s="7" t="s">
        <v>71</v>
      </c>
      <c r="D423" s="8" t="n">
        <v>88541.13</v>
      </c>
      <c r="E423" s="9" t="n">
        <v>0.09</v>
      </c>
      <c r="F423" s="9" t="n">
        <v>0.56</v>
      </c>
      <c r="G423" s="10" t="n">
        <f aca="false">D423*(1-E423)</f>
        <v>80572.4283</v>
      </c>
      <c r="H423" s="10" t="n">
        <f aca="false">G423*F423</f>
        <v>45120.559848</v>
      </c>
      <c r="I423" s="10" t="n">
        <f aca="false">G423-H423</f>
        <v>35451.868452</v>
      </c>
      <c r="J423" s="8" t="n">
        <v>82457.86</v>
      </c>
      <c r="K423" s="9" t="n">
        <v>0.091</v>
      </c>
      <c r="L423" s="9" t="n">
        <v>0.5466</v>
      </c>
      <c r="M423" s="10" t="n">
        <f aca="false">J423*(1-K423)</f>
        <v>74954.19474</v>
      </c>
      <c r="N423" s="10" t="n">
        <f aca="false">M423*L423</f>
        <v>40969.962844884</v>
      </c>
      <c r="O423" s="10" t="n">
        <f aca="false">M423-N423</f>
        <v>33984.231895116</v>
      </c>
      <c r="P423" s="10" t="n">
        <f aca="false">O423-I423</f>
        <v>-1467.636556884</v>
      </c>
      <c r="Q423" s="10" t="n">
        <f aca="false">(J423-D423)*(1-E423)*(1-F423)</f>
        <v>-2435.741308</v>
      </c>
      <c r="R423" s="10" t="n">
        <f aca="false">J423*(E423-K423)*(1-F423)</f>
        <v>-36.2814584</v>
      </c>
      <c r="S423" s="10" t="n">
        <f aca="false">M423*(F423-L423)</f>
        <v>1004.38620951601</v>
      </c>
      <c r="T423" s="10" t="n">
        <f aca="false">ROUND(P423-(Q423+R423+S423),2)</f>
        <v>0</v>
      </c>
    </row>
    <row r="424" customFormat="false" ht="15" hidden="false" customHeight="true" outlineLevel="0" collapsed="false">
      <c r="A424" s="7" t="s">
        <v>57</v>
      </c>
      <c r="B424" s="7" t="s">
        <v>73</v>
      </c>
      <c r="C424" s="7" t="s">
        <v>71</v>
      </c>
      <c r="D424" s="8" t="n">
        <v>96276.81</v>
      </c>
      <c r="E424" s="9" t="n">
        <v>0.09</v>
      </c>
      <c r="F424" s="9" t="n">
        <v>0.56</v>
      </c>
      <c r="G424" s="10" t="n">
        <f aca="false">D424*(1-E424)</f>
        <v>87611.8971</v>
      </c>
      <c r="H424" s="10" t="n">
        <f aca="false">G424*F424</f>
        <v>49062.662376</v>
      </c>
      <c r="I424" s="10" t="n">
        <f aca="false">G424-H424</f>
        <v>38549.234724</v>
      </c>
      <c r="J424" s="8" t="n">
        <v>90111.62</v>
      </c>
      <c r="K424" s="9" t="n">
        <v>0.0842</v>
      </c>
      <c r="L424" s="9" t="n">
        <v>0.555</v>
      </c>
      <c r="M424" s="10" t="n">
        <f aca="false">J424*(1-K424)</f>
        <v>82524.221596</v>
      </c>
      <c r="N424" s="10" t="n">
        <f aca="false">M424*L424</f>
        <v>45800.94298578</v>
      </c>
      <c r="O424" s="10" t="n">
        <f aca="false">M424-N424</f>
        <v>36723.27861022</v>
      </c>
      <c r="P424" s="10" t="n">
        <f aca="false">O424-I424</f>
        <v>-1825.95611378</v>
      </c>
      <c r="Q424" s="10" t="n">
        <f aca="false">(J424-D424)*(1-E424)*(1-F424)</f>
        <v>-2468.542076</v>
      </c>
      <c r="R424" s="10" t="n">
        <f aca="false">J424*(E424-K424)*(1-F424)</f>
        <v>229.96485424</v>
      </c>
      <c r="S424" s="10" t="n">
        <f aca="false">M424*(F424-L424)</f>
        <v>412.62110798</v>
      </c>
      <c r="T424" s="10" t="n">
        <f aca="false">ROUND(P424-(Q424+R424+S424),2)</f>
        <v>0</v>
      </c>
    </row>
    <row r="425" customFormat="false" ht="15" hidden="false" customHeight="true" outlineLevel="0" collapsed="false">
      <c r="A425" s="7" t="s">
        <v>58</v>
      </c>
      <c r="B425" s="7" t="s">
        <v>73</v>
      </c>
      <c r="C425" s="7" t="s">
        <v>71</v>
      </c>
      <c r="D425" s="8" t="n">
        <v>100031.64</v>
      </c>
      <c r="E425" s="9" t="n">
        <v>0.09</v>
      </c>
      <c r="F425" s="9" t="n">
        <v>0.56</v>
      </c>
      <c r="G425" s="10" t="n">
        <f aca="false">D425*(1-E425)</f>
        <v>91028.7924</v>
      </c>
      <c r="H425" s="10" t="n">
        <f aca="false">G425*F425</f>
        <v>50976.123744</v>
      </c>
      <c r="I425" s="10" t="n">
        <f aca="false">G425-H425</f>
        <v>40052.668656</v>
      </c>
      <c r="J425" s="8" t="n">
        <v>99536.26</v>
      </c>
      <c r="K425" s="9" t="n">
        <v>0.0708</v>
      </c>
      <c r="L425" s="9" t="n">
        <v>0.5449</v>
      </c>
      <c r="M425" s="10" t="n">
        <f aca="false">J425*(1-K425)</f>
        <v>92489.092792</v>
      </c>
      <c r="N425" s="10" t="n">
        <f aca="false">M425*L425</f>
        <v>50397.3066623608</v>
      </c>
      <c r="O425" s="10" t="n">
        <f aca="false">M425-N425</f>
        <v>42091.7861296392</v>
      </c>
      <c r="P425" s="10" t="n">
        <f aca="false">O425-I425</f>
        <v>2039.1174736392</v>
      </c>
      <c r="Q425" s="10" t="n">
        <f aca="false">(J425-D425)*(1-E425)*(1-F425)</f>
        <v>-198.350152000002</v>
      </c>
      <c r="R425" s="10" t="n">
        <f aca="false">J425*(E425-K425)*(1-F425)</f>
        <v>840.88232448</v>
      </c>
      <c r="S425" s="10" t="n">
        <f aca="false">M425*(F425-L425)</f>
        <v>1396.5853011592</v>
      </c>
      <c r="T425" s="10" t="n">
        <f aca="false">ROUND(P425-(Q425+R425+S425),2)</f>
        <v>0</v>
      </c>
    </row>
    <row r="426" customFormat="false" ht="15" hidden="false" customHeight="true" outlineLevel="0" collapsed="false">
      <c r="A426" s="7" t="s">
        <v>59</v>
      </c>
      <c r="B426" s="7" t="s">
        <v>73</v>
      </c>
      <c r="C426" s="7" t="s">
        <v>71</v>
      </c>
      <c r="D426" s="8" t="n">
        <v>102802.2</v>
      </c>
      <c r="E426" s="9" t="n">
        <v>0.09</v>
      </c>
      <c r="F426" s="9" t="n">
        <v>0.56</v>
      </c>
      <c r="G426" s="10" t="n">
        <f aca="false">D426*(1-E426)</f>
        <v>93550.002</v>
      </c>
      <c r="H426" s="10" t="n">
        <f aca="false">G426*F426</f>
        <v>52388.00112</v>
      </c>
      <c r="I426" s="10" t="n">
        <f aca="false">G426-H426</f>
        <v>41162.00088</v>
      </c>
      <c r="J426" s="8" t="n">
        <v>105086.31</v>
      </c>
      <c r="K426" s="9" t="n">
        <v>0.0986</v>
      </c>
      <c r="L426" s="9" t="n">
        <v>0.5508</v>
      </c>
      <c r="M426" s="10" t="n">
        <f aca="false">J426*(1-K426)</f>
        <v>94724.799834</v>
      </c>
      <c r="N426" s="10" t="n">
        <f aca="false">M426*L426</f>
        <v>52174.4197485672</v>
      </c>
      <c r="O426" s="10" t="n">
        <f aca="false">M426-N426</f>
        <v>42550.3800854328</v>
      </c>
      <c r="P426" s="10" t="n">
        <f aca="false">O426-I426</f>
        <v>1388.3792054328</v>
      </c>
      <c r="Q426" s="10" t="n">
        <f aca="false">(J426-D426)*(1-E426)*(1-F426)</f>
        <v>914.557644</v>
      </c>
      <c r="R426" s="10" t="n">
        <f aca="false">J426*(E426-K426)*(1-F426)</f>
        <v>-397.64659704</v>
      </c>
      <c r="S426" s="10" t="n">
        <f aca="false">M426*(F426-L426)</f>
        <v>871.468158472809</v>
      </c>
      <c r="T426" s="10" t="n">
        <f aca="false">ROUND(P426-(Q426+R426+S426),2)</f>
        <v>-0</v>
      </c>
    </row>
    <row r="427" customFormat="false" ht="15" hidden="false" customHeight="true" outlineLevel="0" collapsed="false">
      <c r="A427" s="7" t="s">
        <v>60</v>
      </c>
      <c r="B427" s="7" t="s">
        <v>73</v>
      </c>
      <c r="C427" s="7" t="s">
        <v>71</v>
      </c>
      <c r="D427" s="8" t="n">
        <v>105601.92</v>
      </c>
      <c r="E427" s="9" t="n">
        <v>0.09</v>
      </c>
      <c r="F427" s="9" t="n">
        <v>0.56</v>
      </c>
      <c r="G427" s="10" t="n">
        <f aca="false">D427*(1-E427)</f>
        <v>96097.7472</v>
      </c>
      <c r="H427" s="10" t="n">
        <f aca="false">G427*F427</f>
        <v>53814.738432</v>
      </c>
      <c r="I427" s="10" t="n">
        <f aca="false">G427-H427</f>
        <v>42283.008768</v>
      </c>
      <c r="J427" s="8" t="n">
        <v>107721.94</v>
      </c>
      <c r="K427" s="9" t="n">
        <v>0.0786</v>
      </c>
      <c r="L427" s="9" t="n">
        <v>0.5623</v>
      </c>
      <c r="M427" s="10" t="n">
        <f aca="false">J427*(1-K427)</f>
        <v>99254.995516</v>
      </c>
      <c r="N427" s="10" t="n">
        <f aca="false">M427*L427</f>
        <v>55811.0839786468</v>
      </c>
      <c r="O427" s="10" t="n">
        <f aca="false">M427-N427</f>
        <v>43443.9115373532</v>
      </c>
      <c r="P427" s="10" t="n">
        <f aca="false">O427-I427</f>
        <v>1160.9027693532</v>
      </c>
      <c r="Q427" s="10" t="n">
        <f aca="false">(J427-D427)*(1-E427)*(1-F427)</f>
        <v>848.856008000002</v>
      </c>
      <c r="R427" s="10" t="n">
        <f aca="false">J427*(E427-K427)*(1-F427)</f>
        <v>540.33325104</v>
      </c>
      <c r="S427" s="10" t="n">
        <f aca="false">M427*(F427-L427)</f>
        <v>-228.286489686797</v>
      </c>
      <c r="T427" s="10" t="n">
        <f aca="false">ROUND(P427-(Q427+R427+S427),2)</f>
        <v>0</v>
      </c>
    </row>
    <row r="428" customFormat="false" ht="15" hidden="false" customHeight="true" outlineLevel="0" collapsed="false">
      <c r="A428" s="7" t="s">
        <v>61</v>
      </c>
      <c r="B428" s="7" t="s">
        <v>73</v>
      </c>
      <c r="C428" s="7" t="s">
        <v>71</v>
      </c>
      <c r="D428" s="8" t="n">
        <v>104260.39</v>
      </c>
      <c r="E428" s="9" t="n">
        <v>0.09</v>
      </c>
      <c r="F428" s="9" t="n">
        <v>0.56</v>
      </c>
      <c r="G428" s="10" t="n">
        <f aca="false">D428*(1-E428)</f>
        <v>94876.9549</v>
      </c>
      <c r="H428" s="10" t="n">
        <f aca="false">G428*F428</f>
        <v>53131.094744</v>
      </c>
      <c r="I428" s="10" t="n">
        <f aca="false">G428-H428</f>
        <v>41745.860156</v>
      </c>
      <c r="J428" s="8" t="n">
        <v>96886.15</v>
      </c>
      <c r="K428" s="9" t="n">
        <v>0.0929</v>
      </c>
      <c r="L428" s="9" t="n">
        <v>0.563</v>
      </c>
      <c r="M428" s="10" t="n">
        <f aca="false">J428*(1-K428)</f>
        <v>87885.426665</v>
      </c>
      <c r="N428" s="10" t="n">
        <f aca="false">M428*L428</f>
        <v>49479.495212395</v>
      </c>
      <c r="O428" s="10" t="n">
        <f aca="false">M428-N428</f>
        <v>38405.931452605</v>
      </c>
      <c r="P428" s="10" t="n">
        <f aca="false">O428-I428</f>
        <v>-3339.928703395</v>
      </c>
      <c r="Q428" s="10" t="n">
        <f aca="false">(J428-D428)*(1-E428)*(1-F428)</f>
        <v>-2952.645696</v>
      </c>
      <c r="R428" s="10" t="n">
        <f aca="false">J428*(E428-K428)*(1-F428)</f>
        <v>-123.6267274</v>
      </c>
      <c r="S428" s="10" t="n">
        <f aca="false">M428*(F428-L428)</f>
        <v>-263.65627999499</v>
      </c>
      <c r="T428" s="10" t="n">
        <f aca="false">ROUND(P428-(Q428+R428+S428),2)</f>
        <v>0</v>
      </c>
    </row>
    <row r="429" customFormat="false" ht="15" hidden="false" customHeight="true" outlineLevel="0" collapsed="false">
      <c r="A429" s="7" t="s">
        <v>62</v>
      </c>
      <c r="B429" s="7" t="s">
        <v>73</v>
      </c>
      <c r="C429" s="7" t="s">
        <v>71</v>
      </c>
      <c r="D429" s="8" t="n">
        <v>108139.16</v>
      </c>
      <c r="E429" s="9" t="n">
        <v>0.09</v>
      </c>
      <c r="F429" s="9" t="n">
        <v>0.56</v>
      </c>
      <c r="G429" s="10" t="n">
        <f aca="false">D429*(1-E429)</f>
        <v>98406.6356</v>
      </c>
      <c r="H429" s="10" t="n">
        <f aca="false">G429*F429</f>
        <v>55107.715936</v>
      </c>
      <c r="I429" s="10" t="n">
        <f aca="false">G429-H429</f>
        <v>43298.919664</v>
      </c>
      <c r="J429" s="8" t="n">
        <v>109112.8</v>
      </c>
      <c r="K429" s="9" t="n">
        <v>0.0827</v>
      </c>
      <c r="L429" s="9" t="n">
        <v>0.5564</v>
      </c>
      <c r="M429" s="10" t="n">
        <f aca="false">J429*(1-K429)</f>
        <v>100089.17144</v>
      </c>
      <c r="N429" s="10" t="n">
        <f aca="false">M429*L429</f>
        <v>55689.614989216</v>
      </c>
      <c r="O429" s="10" t="n">
        <f aca="false">M429-N429</f>
        <v>44399.556450784</v>
      </c>
      <c r="P429" s="10" t="n">
        <f aca="false">O429-I429</f>
        <v>1100.636786784</v>
      </c>
      <c r="Q429" s="10" t="n">
        <f aca="false">(J429-D429)*(1-E429)*(1-F429)</f>
        <v>389.845456</v>
      </c>
      <c r="R429" s="10" t="n">
        <f aca="false">J429*(E429-K429)*(1-F429)</f>
        <v>350.4703136</v>
      </c>
      <c r="S429" s="10" t="n">
        <f aca="false">M429*(F429-L429)</f>
        <v>360.321017184005</v>
      </c>
      <c r="T429" s="10" t="n">
        <f aca="false">ROUND(P429-(Q429+R429+S429),2)</f>
        <v>0</v>
      </c>
    </row>
    <row r="430" customFormat="false" ht="15" hidden="false" customHeight="true" outlineLevel="0" collapsed="false">
      <c r="A430" s="7" t="s">
        <v>63</v>
      </c>
      <c r="B430" s="7" t="s">
        <v>73</v>
      </c>
      <c r="C430" s="7" t="s">
        <v>71</v>
      </c>
      <c r="D430" s="8" t="n">
        <v>111004.5</v>
      </c>
      <c r="E430" s="9" t="n">
        <v>0.09</v>
      </c>
      <c r="F430" s="9" t="n">
        <v>0.56</v>
      </c>
      <c r="G430" s="10" t="n">
        <f aca="false">D430*(1-E430)</f>
        <v>101014.095</v>
      </c>
      <c r="H430" s="10" t="n">
        <f aca="false">G430*F430</f>
        <v>56567.8932</v>
      </c>
      <c r="I430" s="10" t="n">
        <f aca="false">G430-H430</f>
        <v>44446.2018</v>
      </c>
      <c r="J430" s="8" t="n">
        <v>109514.67</v>
      </c>
      <c r="K430" s="9" t="n">
        <v>0.0989</v>
      </c>
      <c r="L430" s="9" t="n">
        <v>0.5616</v>
      </c>
      <c r="M430" s="10" t="n">
        <f aca="false">J430*(1-K430)</f>
        <v>98683.669137</v>
      </c>
      <c r="N430" s="10" t="n">
        <f aca="false">M430*L430</f>
        <v>55420.7485873392</v>
      </c>
      <c r="O430" s="10" t="n">
        <f aca="false">M430-N430</f>
        <v>43262.9205496608</v>
      </c>
      <c r="P430" s="10" t="n">
        <f aca="false">O430-I430</f>
        <v>-1183.28125033919</v>
      </c>
      <c r="Q430" s="10" t="n">
        <f aca="false">(J430-D430)*(1-E430)*(1-F430)</f>
        <v>-596.527932000001</v>
      </c>
      <c r="R430" s="10" t="n">
        <f aca="false">J430*(E430-K430)*(1-F430)</f>
        <v>-428.85944772</v>
      </c>
      <c r="S430" s="10" t="n">
        <f aca="false">M430*(F430-L430)</f>
        <v>-157.893870619194</v>
      </c>
      <c r="T430" s="10" t="n">
        <f aca="false">ROUND(P430-(Q430+R430+S430),2)</f>
        <v>0</v>
      </c>
    </row>
    <row r="431" customFormat="false" ht="15" hidden="false" customHeight="true" outlineLevel="0" collapsed="false">
      <c r="A431" s="7" t="s">
        <v>64</v>
      </c>
      <c r="B431" s="7" t="s">
        <v>73</v>
      </c>
      <c r="C431" s="7" t="s">
        <v>71</v>
      </c>
      <c r="D431" s="8" t="n">
        <v>117092.43</v>
      </c>
      <c r="E431" s="9" t="n">
        <v>0.09</v>
      </c>
      <c r="F431" s="9" t="n">
        <v>0.56</v>
      </c>
      <c r="G431" s="10" t="n">
        <f aca="false">D431*(1-E431)</f>
        <v>106554.1113</v>
      </c>
      <c r="H431" s="10" t="n">
        <f aca="false">G431*F431</f>
        <v>59670.302328</v>
      </c>
      <c r="I431" s="10" t="n">
        <f aca="false">G431-H431</f>
        <v>46883.808972</v>
      </c>
      <c r="J431" s="8" t="n">
        <v>112288.55</v>
      </c>
      <c r="K431" s="9" t="n">
        <v>0.0842</v>
      </c>
      <c r="L431" s="9" t="n">
        <v>0.5659</v>
      </c>
      <c r="M431" s="10" t="n">
        <f aca="false">J431*(1-K431)</f>
        <v>102833.85409</v>
      </c>
      <c r="N431" s="10" t="n">
        <f aca="false">M431*L431</f>
        <v>58193.678029531</v>
      </c>
      <c r="O431" s="10" t="n">
        <f aca="false">M431-N431</f>
        <v>44640.176060469</v>
      </c>
      <c r="P431" s="10" t="n">
        <f aca="false">O431-I431</f>
        <v>-2243.632911531</v>
      </c>
      <c r="Q431" s="10" t="n">
        <f aca="false">(J431-D431)*(1-E431)*(1-F431)</f>
        <v>-1923.473552</v>
      </c>
      <c r="R431" s="10" t="n">
        <f aca="false">J431*(E431-K431)*(1-F431)</f>
        <v>286.5603796</v>
      </c>
      <c r="S431" s="10" t="n">
        <f aca="false">M431*(F431-L431)</f>
        <v>-606.71973913099</v>
      </c>
      <c r="T431" s="10" t="n">
        <f aca="false">ROUND(P431-(Q431+R431+S431),2)</f>
        <v>-0</v>
      </c>
    </row>
    <row r="432" customFormat="false" ht="15" hidden="false" customHeight="true" outlineLevel="0" collapsed="false">
      <c r="A432" s="7" t="s">
        <v>65</v>
      </c>
      <c r="B432" s="7" t="s">
        <v>73</v>
      </c>
      <c r="C432" s="7" t="s">
        <v>71</v>
      </c>
      <c r="D432" s="8" t="n">
        <v>139329.79</v>
      </c>
      <c r="E432" s="9" t="n">
        <v>0.09</v>
      </c>
      <c r="F432" s="9" t="n">
        <v>0.56</v>
      </c>
      <c r="G432" s="10" t="n">
        <f aca="false">D432*(1-E432)</f>
        <v>126790.1089</v>
      </c>
      <c r="H432" s="10" t="n">
        <f aca="false">G432*F432</f>
        <v>71002.460984</v>
      </c>
      <c r="I432" s="10" t="n">
        <f aca="false">G432-H432</f>
        <v>55787.647916</v>
      </c>
      <c r="J432" s="8" t="n">
        <v>146795.69</v>
      </c>
      <c r="K432" s="9" t="n">
        <v>0.0926</v>
      </c>
      <c r="L432" s="9" t="n">
        <v>0.5611</v>
      </c>
      <c r="M432" s="10" t="n">
        <f aca="false">J432*(1-K432)</f>
        <v>133202.409106</v>
      </c>
      <c r="N432" s="10" t="n">
        <f aca="false">M432*L432</f>
        <v>74739.8717493766</v>
      </c>
      <c r="O432" s="10" t="n">
        <f aca="false">M432-N432</f>
        <v>58462.5373566234</v>
      </c>
      <c r="P432" s="10" t="n">
        <f aca="false">O432-I432</f>
        <v>2674.88944062339</v>
      </c>
      <c r="Q432" s="10" t="n">
        <f aca="false">(J432-D432)*(1-E432)*(1-F432)</f>
        <v>2989.34636</v>
      </c>
      <c r="R432" s="10" t="n">
        <f aca="false">J432*(E432-K432)*(1-F432)</f>
        <v>-167.93426936</v>
      </c>
      <c r="S432" s="10" t="n">
        <f aca="false">M432*(F432-L432)</f>
        <v>-146.522650016599</v>
      </c>
      <c r="T432" s="10" t="n">
        <f aca="false">ROUND(P432-(Q432+R432+S432),2)</f>
        <v>-0</v>
      </c>
    </row>
    <row r="433" customFormat="false" ht="15" hidden="false" customHeight="true" outlineLevel="0" collapsed="false">
      <c r="A433" s="7" t="s">
        <v>66</v>
      </c>
      <c r="B433" s="7" t="s">
        <v>73</v>
      </c>
      <c r="C433" s="7" t="s">
        <v>71</v>
      </c>
      <c r="D433" s="8" t="n">
        <v>131645.14</v>
      </c>
      <c r="E433" s="9" t="n">
        <v>0.09</v>
      </c>
      <c r="F433" s="9" t="n">
        <v>0.56</v>
      </c>
      <c r="G433" s="10" t="n">
        <f aca="false">D433*(1-E433)</f>
        <v>119797.0774</v>
      </c>
      <c r="H433" s="10" t="n">
        <f aca="false">G433*F433</f>
        <v>67086.363344</v>
      </c>
      <c r="I433" s="10" t="n">
        <f aca="false">G433-H433</f>
        <v>52710.714056</v>
      </c>
      <c r="J433" s="8" t="n">
        <v>133466.34</v>
      </c>
      <c r="K433" s="9" t="n">
        <v>0.0942</v>
      </c>
      <c r="L433" s="9" t="n">
        <v>0.5533</v>
      </c>
      <c r="M433" s="10" t="n">
        <f aca="false">J433*(1-K433)</f>
        <v>120893.810772</v>
      </c>
      <c r="N433" s="10" t="n">
        <f aca="false">M433*L433</f>
        <v>66890.5455001476</v>
      </c>
      <c r="O433" s="10" t="n">
        <f aca="false">M433-N433</f>
        <v>54003.2652718524</v>
      </c>
      <c r="P433" s="10" t="n">
        <f aca="false">O433-I433</f>
        <v>1292.55121585239</v>
      </c>
      <c r="Q433" s="10" t="n">
        <f aca="false">(J433-D433)*(1-E433)*(1-F433)</f>
        <v>729.208479999993</v>
      </c>
      <c r="R433" s="10" t="n">
        <f aca="false">J433*(E433-K433)*(1-F433)</f>
        <v>-246.645796320001</v>
      </c>
      <c r="S433" s="10" t="n">
        <f aca="false">M433*(F433-L433)</f>
        <v>809.988532172405</v>
      </c>
      <c r="T433" s="10" t="n">
        <f aca="false">ROUND(P433-(Q433+R433+S433),2)</f>
        <v>0</v>
      </c>
    </row>
    <row r="434" customFormat="false" ht="15" hidden="false" customHeight="true" outlineLevel="0" collapsed="false">
      <c r="A434" s="7" t="s">
        <v>41</v>
      </c>
      <c r="B434" s="7" t="s">
        <v>74</v>
      </c>
      <c r="C434" s="7" t="s">
        <v>43</v>
      </c>
      <c r="D434" s="8" t="n">
        <v>209546.73</v>
      </c>
      <c r="E434" s="9" t="n">
        <v>0.1</v>
      </c>
      <c r="F434" s="9" t="n">
        <v>0.62</v>
      </c>
      <c r="G434" s="10" t="n">
        <f aca="false">D434*(1-E434)</f>
        <v>188592.057</v>
      </c>
      <c r="H434" s="10" t="n">
        <f aca="false">G434*F434</f>
        <v>116927.07534</v>
      </c>
      <c r="I434" s="10" t="n">
        <f aca="false">G434-H434</f>
        <v>71664.98166</v>
      </c>
      <c r="J434" s="8" t="n">
        <v>214845.43</v>
      </c>
      <c r="K434" s="9" t="n">
        <v>0.0872</v>
      </c>
      <c r="L434" s="9" t="n">
        <v>0.6408</v>
      </c>
      <c r="M434" s="10" t="n">
        <f aca="false">J434*(1-K434)</f>
        <v>196110.908504</v>
      </c>
      <c r="N434" s="10" t="n">
        <f aca="false">M434*L434</f>
        <v>125667.870169363</v>
      </c>
      <c r="O434" s="10" t="n">
        <f aca="false">M434-N434</f>
        <v>70443.0383346368</v>
      </c>
      <c r="P434" s="10" t="n">
        <f aca="false">O434-I434</f>
        <v>-1221.94332536322</v>
      </c>
      <c r="Q434" s="10" t="n">
        <f aca="false">(J434-D434)*(1-E434)*(1-F434)</f>
        <v>1812.15539999999</v>
      </c>
      <c r="R434" s="10" t="n">
        <f aca="false">J434*(E434-K434)*(1-F434)</f>
        <v>1045.00817152</v>
      </c>
      <c r="S434" s="10" t="n">
        <f aca="false">M434*(F434-L434)</f>
        <v>-4079.10689688321</v>
      </c>
      <c r="T434" s="10" t="n">
        <f aca="false">ROUND(P434-(Q434+R434+S434),2)</f>
        <v>0</v>
      </c>
    </row>
    <row r="435" customFormat="false" ht="15" hidden="false" customHeight="true" outlineLevel="0" collapsed="false">
      <c r="A435" s="7" t="s">
        <v>44</v>
      </c>
      <c r="B435" s="7" t="s">
        <v>74</v>
      </c>
      <c r="C435" s="7" t="s">
        <v>43</v>
      </c>
      <c r="D435" s="8" t="n">
        <v>206529.26</v>
      </c>
      <c r="E435" s="9" t="n">
        <v>0.1</v>
      </c>
      <c r="F435" s="9" t="n">
        <v>0.62</v>
      </c>
      <c r="G435" s="10" t="n">
        <f aca="false">D435*(1-E435)</f>
        <v>185876.334</v>
      </c>
      <c r="H435" s="10" t="n">
        <f aca="false">G435*F435</f>
        <v>115243.32708</v>
      </c>
      <c r="I435" s="10" t="n">
        <f aca="false">G435-H435</f>
        <v>70633.00692</v>
      </c>
      <c r="J435" s="8" t="n">
        <v>208383.79</v>
      </c>
      <c r="K435" s="9" t="n">
        <v>0.1079</v>
      </c>
      <c r="L435" s="9" t="n">
        <v>0.624</v>
      </c>
      <c r="M435" s="10" t="n">
        <f aca="false">J435*(1-K435)</f>
        <v>185899.179059</v>
      </c>
      <c r="N435" s="10" t="n">
        <f aca="false">M435*L435</f>
        <v>116001.087732816</v>
      </c>
      <c r="O435" s="10" t="n">
        <f aca="false">M435-N435</f>
        <v>69898.091326184</v>
      </c>
      <c r="P435" s="10" t="n">
        <f aca="false">O435-I435</f>
        <v>-734.915593815997</v>
      </c>
      <c r="Q435" s="10" t="n">
        <f aca="false">(J435-D435)*(1-E435)*(1-F435)</f>
        <v>634.24926</v>
      </c>
      <c r="R435" s="10" t="n">
        <f aca="false">J435*(E435-K435)*(1-F435)</f>
        <v>-625.568137579999</v>
      </c>
      <c r="S435" s="10" t="n">
        <f aca="false">M435*(F435-L435)</f>
        <v>-743.596716236001</v>
      </c>
      <c r="T435" s="10" t="n">
        <f aca="false">ROUND(P435-(Q435+R435+S435),2)</f>
        <v>0</v>
      </c>
    </row>
    <row r="436" customFormat="false" ht="15" hidden="false" customHeight="true" outlineLevel="0" collapsed="false">
      <c r="A436" s="7" t="s">
        <v>45</v>
      </c>
      <c r="B436" s="7" t="s">
        <v>74</v>
      </c>
      <c r="C436" s="7" t="s">
        <v>43</v>
      </c>
      <c r="D436" s="8" t="n">
        <v>224727.23</v>
      </c>
      <c r="E436" s="9" t="n">
        <v>0.1</v>
      </c>
      <c r="F436" s="9" t="n">
        <v>0.62</v>
      </c>
      <c r="G436" s="10" t="n">
        <f aca="false">D436*(1-E436)</f>
        <v>202254.507</v>
      </c>
      <c r="H436" s="10" t="n">
        <f aca="false">G436*F436</f>
        <v>125397.79434</v>
      </c>
      <c r="I436" s="10" t="n">
        <f aca="false">G436-H436</f>
        <v>76856.71266</v>
      </c>
      <c r="J436" s="8" t="n">
        <v>222363.8</v>
      </c>
      <c r="K436" s="9" t="n">
        <v>0.0923</v>
      </c>
      <c r="L436" s="9" t="n">
        <v>0.6517</v>
      </c>
      <c r="M436" s="10" t="n">
        <f aca="false">J436*(1-K436)</f>
        <v>201839.62126</v>
      </c>
      <c r="N436" s="10" t="n">
        <f aca="false">M436*L436</f>
        <v>131538.881175142</v>
      </c>
      <c r="O436" s="10" t="n">
        <f aca="false">M436-N436</f>
        <v>70300.740084858</v>
      </c>
      <c r="P436" s="10" t="n">
        <f aca="false">O436-I436</f>
        <v>-6555.97257514201</v>
      </c>
      <c r="Q436" s="10" t="n">
        <f aca="false">(J436-D436)*(1-E436)*(1-F436)</f>
        <v>-808.293060000008</v>
      </c>
      <c r="R436" s="10" t="n">
        <f aca="false">J436*(E436-K436)*(1-F436)</f>
        <v>650.636478800001</v>
      </c>
      <c r="S436" s="10" t="n">
        <f aca="false">M436*(F436-L436)</f>
        <v>-6398.31599394199</v>
      </c>
      <c r="T436" s="10" t="n">
        <f aca="false">ROUND(P436-(Q436+R436+S436),2)</f>
        <v>0</v>
      </c>
    </row>
    <row r="437" customFormat="false" ht="15" hidden="false" customHeight="true" outlineLevel="0" collapsed="false">
      <c r="A437" s="7" t="s">
        <v>46</v>
      </c>
      <c r="B437" s="7" t="s">
        <v>74</v>
      </c>
      <c r="C437" s="7" t="s">
        <v>43</v>
      </c>
      <c r="D437" s="8" t="n">
        <v>233649.26</v>
      </c>
      <c r="E437" s="9" t="n">
        <v>0.1</v>
      </c>
      <c r="F437" s="9" t="n">
        <v>0.62</v>
      </c>
      <c r="G437" s="10" t="n">
        <f aca="false">D437*(1-E437)</f>
        <v>210284.334</v>
      </c>
      <c r="H437" s="10" t="n">
        <f aca="false">G437*F437</f>
        <v>130376.28708</v>
      </c>
      <c r="I437" s="10" t="n">
        <f aca="false">G437-H437</f>
        <v>79908.04692</v>
      </c>
      <c r="J437" s="8" t="n">
        <v>256957.3</v>
      </c>
      <c r="K437" s="9" t="n">
        <v>0.103</v>
      </c>
      <c r="L437" s="9" t="n">
        <v>0.6313</v>
      </c>
      <c r="M437" s="10" t="n">
        <f aca="false">J437*(1-K437)</f>
        <v>230490.6981</v>
      </c>
      <c r="N437" s="10" t="n">
        <f aca="false">M437*L437</f>
        <v>145508.77771053</v>
      </c>
      <c r="O437" s="10" t="n">
        <f aca="false">M437-N437</f>
        <v>84981.92038947</v>
      </c>
      <c r="P437" s="10" t="n">
        <f aca="false">O437-I437</f>
        <v>5073.87346947</v>
      </c>
      <c r="Q437" s="10" t="n">
        <f aca="false">(J437-D437)*(1-E437)*(1-F437)</f>
        <v>7971.34967999999</v>
      </c>
      <c r="R437" s="10" t="n">
        <f aca="false">J437*(E437-K437)*(1-F437)</f>
        <v>-292.931321999999</v>
      </c>
      <c r="S437" s="10" t="n">
        <f aca="false">M437*(F437-L437)</f>
        <v>-2604.54488852999</v>
      </c>
      <c r="T437" s="10" t="n">
        <f aca="false">ROUND(P437-(Q437+R437+S437),2)</f>
        <v>0</v>
      </c>
    </row>
    <row r="438" customFormat="false" ht="15" hidden="false" customHeight="true" outlineLevel="0" collapsed="false">
      <c r="A438" s="7" t="s">
        <v>47</v>
      </c>
      <c r="B438" s="7" t="s">
        <v>74</v>
      </c>
      <c r="C438" s="7" t="s">
        <v>43</v>
      </c>
      <c r="D438" s="8" t="n">
        <v>240280.25</v>
      </c>
      <c r="E438" s="9" t="n">
        <v>0.1</v>
      </c>
      <c r="F438" s="9" t="n">
        <v>0.62</v>
      </c>
      <c r="G438" s="10" t="n">
        <f aca="false">D438*(1-E438)</f>
        <v>216252.225</v>
      </c>
      <c r="H438" s="10" t="n">
        <f aca="false">G438*F438</f>
        <v>134076.3795</v>
      </c>
      <c r="I438" s="10" t="n">
        <f aca="false">G438-H438</f>
        <v>82175.8455</v>
      </c>
      <c r="J438" s="8" t="n">
        <v>235391.47</v>
      </c>
      <c r="K438" s="9" t="n">
        <v>0.0963</v>
      </c>
      <c r="L438" s="9" t="n">
        <v>0.6483</v>
      </c>
      <c r="M438" s="10" t="n">
        <f aca="false">J438*(1-K438)</f>
        <v>212723.271439</v>
      </c>
      <c r="N438" s="10" t="n">
        <f aca="false">M438*L438</f>
        <v>137908.496873904</v>
      </c>
      <c r="O438" s="10" t="n">
        <f aca="false">M438-N438</f>
        <v>74814.7745650963</v>
      </c>
      <c r="P438" s="10" t="n">
        <f aca="false">O438-I438</f>
        <v>-7361.07093490369</v>
      </c>
      <c r="Q438" s="10" t="n">
        <f aca="false">(J438-D438)*(1-E438)*(1-F438)</f>
        <v>-1671.96276</v>
      </c>
      <c r="R438" s="10" t="n">
        <f aca="false">J438*(E438-K438)*(1-F438)</f>
        <v>330.960406820001</v>
      </c>
      <c r="S438" s="10" t="n">
        <f aca="false">M438*(F438-L438)</f>
        <v>-6020.0685817237</v>
      </c>
      <c r="T438" s="10" t="n">
        <f aca="false">ROUND(P438-(Q438+R438+S438),2)</f>
        <v>0</v>
      </c>
    </row>
    <row r="439" customFormat="false" ht="15" hidden="false" customHeight="true" outlineLevel="0" collapsed="false">
      <c r="A439" s="7" t="s">
        <v>48</v>
      </c>
      <c r="B439" s="7" t="s">
        <v>74</v>
      </c>
      <c r="C439" s="7" t="s">
        <v>43</v>
      </c>
      <c r="D439" s="8" t="n">
        <v>246985.75</v>
      </c>
      <c r="E439" s="9" t="n">
        <v>0.1</v>
      </c>
      <c r="F439" s="9" t="n">
        <v>0.62</v>
      </c>
      <c r="G439" s="10" t="n">
        <f aca="false">D439*(1-E439)</f>
        <v>222287.175</v>
      </c>
      <c r="H439" s="10" t="n">
        <f aca="false">G439*F439</f>
        <v>137818.0485</v>
      </c>
      <c r="I439" s="10" t="n">
        <f aca="false">G439-H439</f>
        <v>84469.1265</v>
      </c>
      <c r="J439" s="8" t="n">
        <v>223541.77</v>
      </c>
      <c r="K439" s="9" t="n">
        <v>0.096</v>
      </c>
      <c r="L439" s="9" t="n">
        <v>0.6412</v>
      </c>
      <c r="M439" s="10" t="n">
        <f aca="false">J439*(1-K439)</f>
        <v>202081.76008</v>
      </c>
      <c r="N439" s="10" t="n">
        <f aca="false">M439*L439</f>
        <v>129574.824563296</v>
      </c>
      <c r="O439" s="10" t="n">
        <f aca="false">M439-N439</f>
        <v>72506.935516704</v>
      </c>
      <c r="P439" s="10" t="n">
        <f aca="false">O439-I439</f>
        <v>-11962.190983296</v>
      </c>
      <c r="Q439" s="10" t="n">
        <f aca="false">(J439-D439)*(1-E439)*(1-F439)</f>
        <v>-8017.84116</v>
      </c>
      <c r="R439" s="10" t="n">
        <f aca="false">J439*(E439-K439)*(1-F439)</f>
        <v>339.7834904</v>
      </c>
      <c r="S439" s="10" t="n">
        <f aca="false">M439*(F439-L439)</f>
        <v>-4284.133313696</v>
      </c>
      <c r="T439" s="10" t="n">
        <f aca="false">ROUND(P439-(Q439+R439+S439),2)</f>
        <v>0</v>
      </c>
    </row>
    <row r="440" customFormat="false" ht="15" hidden="false" customHeight="true" outlineLevel="0" collapsed="false">
      <c r="A440" s="7" t="s">
        <v>49</v>
      </c>
      <c r="B440" s="7" t="s">
        <v>74</v>
      </c>
      <c r="C440" s="7" t="s">
        <v>43</v>
      </c>
      <c r="D440" s="8" t="n">
        <v>244005.53</v>
      </c>
      <c r="E440" s="9" t="n">
        <v>0.1</v>
      </c>
      <c r="F440" s="9" t="n">
        <v>0.62</v>
      </c>
      <c r="G440" s="10" t="n">
        <f aca="false">D440*(1-E440)</f>
        <v>219604.977</v>
      </c>
      <c r="H440" s="10" t="n">
        <f aca="false">G440*F440</f>
        <v>136155.08574</v>
      </c>
      <c r="I440" s="10" t="n">
        <f aca="false">G440-H440</f>
        <v>83449.89126</v>
      </c>
      <c r="J440" s="8" t="n">
        <v>240006.83</v>
      </c>
      <c r="K440" s="9" t="n">
        <v>0.0856</v>
      </c>
      <c r="L440" s="9" t="n">
        <v>0.6402</v>
      </c>
      <c r="M440" s="10" t="n">
        <f aca="false">J440*(1-K440)</f>
        <v>219462.245352</v>
      </c>
      <c r="N440" s="10" t="n">
        <f aca="false">M440*L440</f>
        <v>140499.72947435</v>
      </c>
      <c r="O440" s="10" t="n">
        <f aca="false">M440-N440</f>
        <v>78962.5158776496</v>
      </c>
      <c r="P440" s="10" t="n">
        <f aca="false">O440-I440</f>
        <v>-4487.37538235041</v>
      </c>
      <c r="Q440" s="10" t="n">
        <f aca="false">(J440-D440)*(1-E440)*(1-F440)</f>
        <v>-1367.5554</v>
      </c>
      <c r="R440" s="10" t="n">
        <f aca="false">J440*(E440-K440)*(1-F440)</f>
        <v>1313.31737376</v>
      </c>
      <c r="S440" s="10" t="n">
        <f aca="false">M440*(F440-L440)</f>
        <v>-4433.1373561104</v>
      </c>
      <c r="T440" s="10" t="n">
        <f aca="false">ROUND(P440-(Q440+R440+S440),2)</f>
        <v>0</v>
      </c>
    </row>
    <row r="441" customFormat="false" ht="15" hidden="false" customHeight="true" outlineLevel="0" collapsed="false">
      <c r="A441" s="7" t="s">
        <v>50</v>
      </c>
      <c r="B441" s="7" t="s">
        <v>74</v>
      </c>
      <c r="C441" s="7" t="s">
        <v>43</v>
      </c>
      <c r="D441" s="8" t="n">
        <v>253244.21</v>
      </c>
      <c r="E441" s="9" t="n">
        <v>0.1</v>
      </c>
      <c r="F441" s="9" t="n">
        <v>0.62</v>
      </c>
      <c r="G441" s="10" t="n">
        <f aca="false">D441*(1-E441)</f>
        <v>227919.789</v>
      </c>
      <c r="H441" s="10" t="n">
        <f aca="false">G441*F441</f>
        <v>141310.26918</v>
      </c>
      <c r="I441" s="10" t="n">
        <f aca="false">G441-H441</f>
        <v>86609.51982</v>
      </c>
      <c r="J441" s="8" t="n">
        <v>234019.11</v>
      </c>
      <c r="K441" s="9" t="n">
        <v>0.0959</v>
      </c>
      <c r="L441" s="9" t="n">
        <v>0.6335</v>
      </c>
      <c r="M441" s="10" t="n">
        <f aca="false">J441*(1-K441)</f>
        <v>211576.677351</v>
      </c>
      <c r="N441" s="10" t="n">
        <f aca="false">M441*L441</f>
        <v>134033.825101858</v>
      </c>
      <c r="O441" s="10" t="n">
        <f aca="false">M441-N441</f>
        <v>77542.8522491415</v>
      </c>
      <c r="P441" s="10" t="n">
        <f aca="false">O441-I441</f>
        <v>-9066.66757085847</v>
      </c>
      <c r="Q441" s="10" t="n">
        <f aca="false">(J441-D441)*(1-E441)*(1-F441)</f>
        <v>-6574.9842</v>
      </c>
      <c r="R441" s="10" t="n">
        <f aca="false">J441*(E441-K441)*(1-F441)</f>
        <v>364.601773380001</v>
      </c>
      <c r="S441" s="10" t="n">
        <f aca="false">M441*(F441-L441)</f>
        <v>-2856.28514423849</v>
      </c>
      <c r="T441" s="10" t="n">
        <f aca="false">ROUND(P441-(Q441+R441+S441),2)</f>
        <v>0</v>
      </c>
    </row>
    <row r="442" customFormat="false" ht="15" hidden="false" customHeight="true" outlineLevel="0" collapsed="false">
      <c r="A442" s="7" t="s">
        <v>51</v>
      </c>
      <c r="B442" s="7" t="s">
        <v>74</v>
      </c>
      <c r="C442" s="7" t="s">
        <v>43</v>
      </c>
      <c r="D442" s="8" t="n">
        <v>260117.34</v>
      </c>
      <c r="E442" s="9" t="n">
        <v>0.1</v>
      </c>
      <c r="F442" s="9" t="n">
        <v>0.62</v>
      </c>
      <c r="G442" s="10" t="n">
        <f aca="false">D442*(1-E442)</f>
        <v>234105.606</v>
      </c>
      <c r="H442" s="10" t="n">
        <f aca="false">G442*F442</f>
        <v>145145.47572</v>
      </c>
      <c r="I442" s="10" t="n">
        <f aca="false">G442-H442</f>
        <v>88960.13028</v>
      </c>
      <c r="J442" s="8" t="n">
        <v>272505.04</v>
      </c>
      <c r="K442" s="9" t="n">
        <v>0.0769</v>
      </c>
      <c r="L442" s="9" t="n">
        <v>0.6491</v>
      </c>
      <c r="M442" s="10" t="n">
        <f aca="false">J442*(1-K442)</f>
        <v>251549.402424</v>
      </c>
      <c r="N442" s="10" t="n">
        <f aca="false">M442*L442</f>
        <v>163280.717113418</v>
      </c>
      <c r="O442" s="10" t="n">
        <f aca="false">M442-N442</f>
        <v>88268.6853105816</v>
      </c>
      <c r="P442" s="10" t="n">
        <f aca="false">O442-I442</f>
        <v>-691.4449694184</v>
      </c>
      <c r="Q442" s="10" t="n">
        <f aca="false">(J442-D442)*(1-E442)*(1-F442)</f>
        <v>4236.59339999999</v>
      </c>
      <c r="R442" s="10" t="n">
        <f aca="false">J442*(E442-K442)*(1-F442)</f>
        <v>2392.04924112</v>
      </c>
      <c r="S442" s="10" t="n">
        <f aca="false">M442*(F442-L442)</f>
        <v>-7320.0876105384</v>
      </c>
      <c r="T442" s="10" t="n">
        <f aca="false">ROUND(P442-(Q442+R442+S442),2)</f>
        <v>0</v>
      </c>
    </row>
    <row r="443" customFormat="false" ht="15" hidden="false" customHeight="true" outlineLevel="0" collapsed="false">
      <c r="A443" s="7" t="s">
        <v>52</v>
      </c>
      <c r="B443" s="7" t="s">
        <v>74</v>
      </c>
      <c r="C443" s="7" t="s">
        <v>43</v>
      </c>
      <c r="D443" s="8" t="n">
        <v>274552.78</v>
      </c>
      <c r="E443" s="9" t="n">
        <v>0.1</v>
      </c>
      <c r="F443" s="9" t="n">
        <v>0.62</v>
      </c>
      <c r="G443" s="10" t="n">
        <f aca="false">D443*(1-E443)</f>
        <v>247097.502</v>
      </c>
      <c r="H443" s="10" t="n">
        <f aca="false">G443*F443</f>
        <v>153200.45124</v>
      </c>
      <c r="I443" s="10" t="n">
        <f aca="false">G443-H443</f>
        <v>93897.05076</v>
      </c>
      <c r="J443" s="8" t="n">
        <v>293053.61</v>
      </c>
      <c r="K443" s="9" t="n">
        <v>0.0999</v>
      </c>
      <c r="L443" s="9" t="n">
        <v>0.6427</v>
      </c>
      <c r="M443" s="10" t="n">
        <f aca="false">J443*(1-K443)</f>
        <v>263777.554361</v>
      </c>
      <c r="N443" s="10" t="n">
        <f aca="false">M443*L443</f>
        <v>169529.834187815</v>
      </c>
      <c r="O443" s="10" t="n">
        <f aca="false">M443-N443</f>
        <v>94247.7201731853</v>
      </c>
      <c r="P443" s="10" t="n">
        <f aca="false">O443-I443</f>
        <v>350.669413185271</v>
      </c>
      <c r="Q443" s="10" t="n">
        <f aca="false">(J443-D443)*(1-E443)*(1-F443)</f>
        <v>6327.28385999999</v>
      </c>
      <c r="R443" s="10" t="n">
        <f aca="false">J443*(E443-K443)*(1-F443)</f>
        <v>11.1360371800003</v>
      </c>
      <c r="S443" s="10" t="n">
        <f aca="false">M443*(F443-L443)</f>
        <v>-5987.75048399471</v>
      </c>
      <c r="T443" s="10" t="n">
        <f aca="false">ROUND(P443-(Q443+R443+S443),2)</f>
        <v>0</v>
      </c>
    </row>
    <row r="444" customFormat="false" ht="15" hidden="false" customHeight="true" outlineLevel="0" collapsed="false">
      <c r="A444" s="7" t="s">
        <v>53</v>
      </c>
      <c r="B444" s="7" t="s">
        <v>74</v>
      </c>
      <c r="C444" s="7" t="s">
        <v>43</v>
      </c>
      <c r="D444" s="8" t="n">
        <v>326892.9</v>
      </c>
      <c r="E444" s="9" t="n">
        <v>0.1</v>
      </c>
      <c r="F444" s="9" t="n">
        <v>0.62</v>
      </c>
      <c r="G444" s="10" t="n">
        <f aca="false">D444*(1-E444)</f>
        <v>294203.61</v>
      </c>
      <c r="H444" s="10" t="n">
        <f aca="false">G444*F444</f>
        <v>182406.2382</v>
      </c>
      <c r="I444" s="10" t="n">
        <f aca="false">G444-H444</f>
        <v>111797.3718</v>
      </c>
      <c r="J444" s="8" t="n">
        <v>318185.95</v>
      </c>
      <c r="K444" s="9" t="n">
        <v>0.0929</v>
      </c>
      <c r="L444" s="9" t="n">
        <v>0.6762</v>
      </c>
      <c r="M444" s="10" t="n">
        <f aca="false">J444*(1-K444)</f>
        <v>288626.475245</v>
      </c>
      <c r="N444" s="10" t="n">
        <f aca="false">M444*L444</f>
        <v>195169.222560669</v>
      </c>
      <c r="O444" s="10" t="n">
        <f aca="false">M444-N444</f>
        <v>93457.252684331</v>
      </c>
      <c r="P444" s="10" t="n">
        <f aca="false">O444-I444</f>
        <v>-18340.119115669</v>
      </c>
      <c r="Q444" s="10" t="n">
        <f aca="false">(J444-D444)*(1-E444)*(1-F444)</f>
        <v>-2977.7769</v>
      </c>
      <c r="R444" s="10" t="n">
        <f aca="false">J444*(E444-K444)*(1-F444)</f>
        <v>858.465693100001</v>
      </c>
      <c r="S444" s="10" t="n">
        <f aca="false">M444*(F444-L444)</f>
        <v>-16220.807908769</v>
      </c>
      <c r="T444" s="10" t="n">
        <f aca="false">ROUND(P444-(Q444+R444+S444),2)</f>
        <v>0</v>
      </c>
    </row>
    <row r="445" customFormat="false" ht="15" hidden="false" customHeight="true" outlineLevel="0" collapsed="false">
      <c r="A445" s="7" t="s">
        <v>54</v>
      </c>
      <c r="B445" s="7" t="s">
        <v>74</v>
      </c>
      <c r="C445" s="7" t="s">
        <v>43</v>
      </c>
      <c r="D445" s="8" t="n">
        <v>309048.83</v>
      </c>
      <c r="E445" s="9" t="n">
        <v>0.1</v>
      </c>
      <c r="F445" s="9" t="n">
        <v>0.62</v>
      </c>
      <c r="G445" s="10" t="n">
        <f aca="false">D445*(1-E445)</f>
        <v>278143.947</v>
      </c>
      <c r="H445" s="10" t="n">
        <f aca="false">G445*F445</f>
        <v>172449.24714</v>
      </c>
      <c r="I445" s="10" t="n">
        <f aca="false">G445-H445</f>
        <v>105694.69986</v>
      </c>
      <c r="J445" s="8" t="n">
        <v>316122.62</v>
      </c>
      <c r="K445" s="9" t="n">
        <v>0.102</v>
      </c>
      <c r="L445" s="9" t="n">
        <v>0.6681</v>
      </c>
      <c r="M445" s="10" t="n">
        <f aca="false">J445*(1-K445)</f>
        <v>283878.11276</v>
      </c>
      <c r="N445" s="10" t="n">
        <f aca="false">M445*L445</f>
        <v>189658.967134956</v>
      </c>
      <c r="O445" s="10" t="n">
        <f aca="false">M445-N445</f>
        <v>94219.145625044</v>
      </c>
      <c r="P445" s="10" t="n">
        <f aca="false">O445-I445</f>
        <v>-11475.554234956</v>
      </c>
      <c r="Q445" s="10" t="n">
        <f aca="false">(J445-D445)*(1-E445)*(1-F445)</f>
        <v>2419.23617999999</v>
      </c>
      <c r="R445" s="10" t="n">
        <f aca="false">J445*(E445-K445)*(1-F445)</f>
        <v>-240.253191199999</v>
      </c>
      <c r="S445" s="10" t="n">
        <f aca="false">M445*(F445-L445)</f>
        <v>-13654.537223756</v>
      </c>
      <c r="T445" s="10" t="n">
        <f aca="false">ROUND(P445-(Q445+R445+S445),2)</f>
        <v>0</v>
      </c>
    </row>
    <row r="446" customFormat="false" ht="15" hidden="false" customHeight="true" outlineLevel="0" collapsed="false">
      <c r="A446" s="7" t="s">
        <v>55</v>
      </c>
      <c r="B446" s="7" t="s">
        <v>74</v>
      </c>
      <c r="C446" s="7" t="s">
        <v>43</v>
      </c>
      <c r="D446" s="8" t="n">
        <v>229663.22</v>
      </c>
      <c r="E446" s="9" t="n">
        <v>0.1</v>
      </c>
      <c r="F446" s="9" t="n">
        <v>0.62</v>
      </c>
      <c r="G446" s="10" t="n">
        <f aca="false">D446*(1-E446)</f>
        <v>206696.898</v>
      </c>
      <c r="H446" s="10" t="n">
        <f aca="false">G446*F446</f>
        <v>128152.07676</v>
      </c>
      <c r="I446" s="10" t="n">
        <f aca="false">G446-H446</f>
        <v>78544.82124</v>
      </c>
      <c r="J446" s="8" t="n">
        <v>224900.86</v>
      </c>
      <c r="K446" s="9" t="n">
        <v>0.1128</v>
      </c>
      <c r="L446" s="9" t="n">
        <v>0.6635</v>
      </c>
      <c r="M446" s="10" t="n">
        <f aca="false">J446*(1-K446)</f>
        <v>199532.042992</v>
      </c>
      <c r="N446" s="10" t="n">
        <f aca="false">M446*L446</f>
        <v>132389.510525192</v>
      </c>
      <c r="O446" s="10" t="n">
        <f aca="false">M446-N446</f>
        <v>67142.532466808</v>
      </c>
      <c r="P446" s="10" t="n">
        <f aca="false">O446-I446</f>
        <v>-11402.288773192</v>
      </c>
      <c r="Q446" s="10" t="n">
        <f aca="false">(J446-D446)*(1-E446)*(1-F446)</f>
        <v>-1628.72712000001</v>
      </c>
      <c r="R446" s="10" t="n">
        <f aca="false">J446*(E446-K446)*(1-F446)</f>
        <v>-1093.91778304</v>
      </c>
      <c r="S446" s="10" t="n">
        <f aca="false">M446*(F446-L446)</f>
        <v>-8679.643870152</v>
      </c>
      <c r="T446" s="10" t="n">
        <f aca="false">ROUND(P446-(Q446+R446+S446),2)</f>
        <v>0</v>
      </c>
    </row>
    <row r="447" customFormat="false" ht="15" hidden="false" customHeight="true" outlineLevel="0" collapsed="false">
      <c r="A447" s="7" t="s">
        <v>56</v>
      </c>
      <c r="B447" s="7" t="s">
        <v>74</v>
      </c>
      <c r="C447" s="7" t="s">
        <v>43</v>
      </c>
      <c r="D447" s="8" t="n">
        <v>226198.71</v>
      </c>
      <c r="E447" s="9" t="n">
        <v>0.1</v>
      </c>
      <c r="F447" s="9" t="n">
        <v>0.62</v>
      </c>
      <c r="G447" s="10" t="n">
        <f aca="false">D447*(1-E447)</f>
        <v>203578.839</v>
      </c>
      <c r="H447" s="10" t="n">
        <f aca="false">G447*F447</f>
        <v>126218.88018</v>
      </c>
      <c r="I447" s="10" t="n">
        <f aca="false">G447-H447</f>
        <v>77359.95882</v>
      </c>
      <c r="J447" s="8" t="n">
        <v>239567.46</v>
      </c>
      <c r="K447" s="9" t="n">
        <v>0.0995</v>
      </c>
      <c r="L447" s="9" t="n">
        <v>0.6514</v>
      </c>
      <c r="M447" s="10" t="n">
        <f aca="false">J447*(1-K447)</f>
        <v>215730.49773</v>
      </c>
      <c r="N447" s="10" t="n">
        <f aca="false">M447*L447</f>
        <v>140526.846221322</v>
      </c>
      <c r="O447" s="10" t="n">
        <f aca="false">M447-N447</f>
        <v>75203.651508678</v>
      </c>
      <c r="P447" s="10" t="n">
        <f aca="false">O447-I447</f>
        <v>-2156.30731132202</v>
      </c>
      <c r="Q447" s="10" t="n">
        <f aca="false">(J447-D447)*(1-E447)*(1-F447)</f>
        <v>4572.1125</v>
      </c>
      <c r="R447" s="10" t="n">
        <f aca="false">J447*(E447-K447)*(1-F447)</f>
        <v>45.5178174</v>
      </c>
      <c r="S447" s="10" t="n">
        <f aca="false">M447*(F447-L447)</f>
        <v>-6773.937628722</v>
      </c>
      <c r="T447" s="10" t="n">
        <f aca="false">ROUND(P447-(Q447+R447+S447),2)</f>
        <v>-0</v>
      </c>
    </row>
    <row r="448" customFormat="false" ht="15" hidden="false" customHeight="true" outlineLevel="0" collapsed="false">
      <c r="A448" s="7" t="s">
        <v>57</v>
      </c>
      <c r="B448" s="7" t="s">
        <v>74</v>
      </c>
      <c r="C448" s="7" t="s">
        <v>43</v>
      </c>
      <c r="D448" s="8" t="n">
        <v>245961.29</v>
      </c>
      <c r="E448" s="9" t="n">
        <v>0.1</v>
      </c>
      <c r="F448" s="9" t="n">
        <v>0.62</v>
      </c>
      <c r="G448" s="10" t="n">
        <f aca="false">D448*(1-E448)</f>
        <v>221365.161</v>
      </c>
      <c r="H448" s="10" t="n">
        <f aca="false">G448*F448</f>
        <v>137246.39982</v>
      </c>
      <c r="I448" s="10" t="n">
        <f aca="false">G448-H448</f>
        <v>84118.76118</v>
      </c>
      <c r="J448" s="8" t="n">
        <v>263088.02</v>
      </c>
      <c r="K448" s="9" t="n">
        <v>0.1007</v>
      </c>
      <c r="L448" s="9" t="n">
        <v>0.6498</v>
      </c>
      <c r="M448" s="10" t="n">
        <f aca="false">J448*(1-K448)</f>
        <v>236595.056386</v>
      </c>
      <c r="N448" s="10" t="n">
        <f aca="false">M448*L448</f>
        <v>153739.467639623</v>
      </c>
      <c r="O448" s="10" t="n">
        <f aca="false">M448-N448</f>
        <v>82855.5887463772</v>
      </c>
      <c r="P448" s="10" t="n">
        <f aca="false">O448-I448</f>
        <v>-1263.17243362282</v>
      </c>
      <c r="Q448" s="10" t="n">
        <f aca="false">(J448-D448)*(1-E448)*(1-F448)</f>
        <v>5857.34166</v>
      </c>
      <c r="R448" s="10" t="n">
        <f aca="false">J448*(E448-K448)*(1-F448)</f>
        <v>-69.9814133199992</v>
      </c>
      <c r="S448" s="10" t="n">
        <f aca="false">M448*(F448-L448)</f>
        <v>-7050.53268030281</v>
      </c>
      <c r="T448" s="10" t="n">
        <f aca="false">ROUND(P448-(Q448+R448+S448),2)</f>
        <v>-0</v>
      </c>
    </row>
    <row r="449" customFormat="false" ht="15" hidden="false" customHeight="true" outlineLevel="0" collapsed="false">
      <c r="A449" s="7" t="s">
        <v>58</v>
      </c>
      <c r="B449" s="7" t="s">
        <v>74</v>
      </c>
      <c r="C449" s="7" t="s">
        <v>43</v>
      </c>
      <c r="D449" s="8" t="n">
        <v>255553.88</v>
      </c>
      <c r="E449" s="9" t="n">
        <v>0.1</v>
      </c>
      <c r="F449" s="9" t="n">
        <v>0.62</v>
      </c>
      <c r="G449" s="10" t="n">
        <f aca="false">D449*(1-E449)</f>
        <v>229998.492</v>
      </c>
      <c r="H449" s="10" t="n">
        <f aca="false">G449*F449</f>
        <v>142599.06504</v>
      </c>
      <c r="I449" s="10" t="n">
        <f aca="false">G449-H449</f>
        <v>87399.42696</v>
      </c>
      <c r="J449" s="8" t="n">
        <v>259066.59</v>
      </c>
      <c r="K449" s="9" t="n">
        <v>0.1032</v>
      </c>
      <c r="L449" s="9" t="n">
        <v>0.6504</v>
      </c>
      <c r="M449" s="10" t="n">
        <f aca="false">J449*(1-K449)</f>
        <v>232330.917912</v>
      </c>
      <c r="N449" s="10" t="n">
        <f aca="false">M449*L449</f>
        <v>151108.029009965</v>
      </c>
      <c r="O449" s="10" t="n">
        <f aca="false">M449-N449</f>
        <v>81222.8889020352</v>
      </c>
      <c r="P449" s="10" t="n">
        <f aca="false">O449-I449</f>
        <v>-6176.53805796482</v>
      </c>
      <c r="Q449" s="10" t="n">
        <f aca="false">(J449-D449)*(1-E449)*(1-F449)</f>
        <v>1201.34682</v>
      </c>
      <c r="R449" s="10" t="n">
        <f aca="false">J449*(E449-K449)*(1-F449)</f>
        <v>-315.02497344</v>
      </c>
      <c r="S449" s="10" t="n">
        <f aca="false">M449*(F449-L449)</f>
        <v>-7062.8599045248</v>
      </c>
      <c r="T449" s="10" t="n">
        <f aca="false">ROUND(P449-(Q449+R449+S449),2)</f>
        <v>0</v>
      </c>
    </row>
    <row r="450" customFormat="false" ht="15" hidden="false" customHeight="true" outlineLevel="0" collapsed="false">
      <c r="A450" s="7" t="s">
        <v>59</v>
      </c>
      <c r="B450" s="7" t="s">
        <v>74</v>
      </c>
      <c r="C450" s="7" t="s">
        <v>43</v>
      </c>
      <c r="D450" s="8" t="n">
        <v>262631.9</v>
      </c>
      <c r="E450" s="9" t="n">
        <v>0.1</v>
      </c>
      <c r="F450" s="9" t="n">
        <v>0.62</v>
      </c>
      <c r="G450" s="10" t="n">
        <f aca="false">D450*(1-E450)</f>
        <v>236368.71</v>
      </c>
      <c r="H450" s="10" t="n">
        <f aca="false">G450*F450</f>
        <v>146548.6002</v>
      </c>
      <c r="I450" s="10" t="n">
        <f aca="false">G450-H450</f>
        <v>89820.1098</v>
      </c>
      <c r="J450" s="8" t="n">
        <v>260860.41</v>
      </c>
      <c r="K450" s="9" t="n">
        <v>0.0939</v>
      </c>
      <c r="L450" s="9" t="n">
        <v>0.6618</v>
      </c>
      <c r="M450" s="10" t="n">
        <f aca="false">J450*(1-K450)</f>
        <v>236365.617501</v>
      </c>
      <c r="N450" s="10" t="n">
        <f aca="false">M450*L450</f>
        <v>156426.765662162</v>
      </c>
      <c r="O450" s="10" t="n">
        <f aca="false">M450-N450</f>
        <v>79938.8518388382</v>
      </c>
      <c r="P450" s="10" t="n">
        <f aca="false">O450-I450</f>
        <v>-9881.25796116181</v>
      </c>
      <c r="Q450" s="10" t="n">
        <f aca="false">(J450-D450)*(1-E450)*(1-F450)</f>
        <v>-605.849580000007</v>
      </c>
      <c r="R450" s="10" t="n">
        <f aca="false">J450*(E450-K450)*(1-F450)</f>
        <v>604.674430380001</v>
      </c>
      <c r="S450" s="10" t="n">
        <f aca="false">M450*(F450-L450)</f>
        <v>-9880.08281154181</v>
      </c>
      <c r="T450" s="10" t="n">
        <f aca="false">ROUND(P450-(Q450+R450+S450),2)</f>
        <v>0</v>
      </c>
    </row>
    <row r="451" customFormat="false" ht="15" hidden="false" customHeight="true" outlineLevel="0" collapsed="false">
      <c r="A451" s="7" t="s">
        <v>60</v>
      </c>
      <c r="B451" s="7" t="s">
        <v>74</v>
      </c>
      <c r="C451" s="7" t="s">
        <v>43</v>
      </c>
      <c r="D451" s="8" t="n">
        <v>269784.43</v>
      </c>
      <c r="E451" s="9" t="n">
        <v>0.1</v>
      </c>
      <c r="F451" s="9" t="n">
        <v>0.62</v>
      </c>
      <c r="G451" s="10" t="n">
        <f aca="false">D451*(1-E451)</f>
        <v>242805.987</v>
      </c>
      <c r="H451" s="10" t="n">
        <f aca="false">G451*F451</f>
        <v>150539.71194</v>
      </c>
      <c r="I451" s="10" t="n">
        <f aca="false">G451-H451</f>
        <v>92266.27506</v>
      </c>
      <c r="J451" s="8" t="n">
        <v>258199.85</v>
      </c>
      <c r="K451" s="9" t="n">
        <v>0.1074</v>
      </c>
      <c r="L451" s="9" t="n">
        <v>0.6512</v>
      </c>
      <c r="M451" s="10" t="n">
        <f aca="false">J451*(1-K451)</f>
        <v>230469.18611</v>
      </c>
      <c r="N451" s="10" t="n">
        <f aca="false">M451*L451</f>
        <v>150081.533994832</v>
      </c>
      <c r="O451" s="10" t="n">
        <f aca="false">M451-N451</f>
        <v>80387.652115168</v>
      </c>
      <c r="P451" s="10" t="n">
        <f aca="false">O451-I451</f>
        <v>-11878.622944832</v>
      </c>
      <c r="Q451" s="10" t="n">
        <f aca="false">(J451-D451)*(1-E451)*(1-F451)</f>
        <v>-3961.92636</v>
      </c>
      <c r="R451" s="10" t="n">
        <f aca="false">J451*(E451-K451)*(1-F451)</f>
        <v>-726.057978199999</v>
      </c>
      <c r="S451" s="10" t="n">
        <f aca="false">M451*(F451-L451)</f>
        <v>-7190.638606632</v>
      </c>
      <c r="T451" s="10" t="n">
        <f aca="false">ROUND(P451-(Q451+R451+S451),2)</f>
        <v>0</v>
      </c>
    </row>
    <row r="452" customFormat="false" ht="15" hidden="false" customHeight="true" outlineLevel="0" collapsed="false">
      <c r="A452" s="7" t="s">
        <v>61</v>
      </c>
      <c r="B452" s="7" t="s">
        <v>74</v>
      </c>
      <c r="C452" s="7" t="s">
        <v>43</v>
      </c>
      <c r="D452" s="8" t="n">
        <v>266357.18</v>
      </c>
      <c r="E452" s="9" t="n">
        <v>0.1</v>
      </c>
      <c r="F452" s="9" t="n">
        <v>0.62</v>
      </c>
      <c r="G452" s="10" t="n">
        <f aca="false">D452*(1-E452)</f>
        <v>239721.462</v>
      </c>
      <c r="H452" s="10" t="n">
        <f aca="false">G452*F452</f>
        <v>148627.30644</v>
      </c>
      <c r="I452" s="10" t="n">
        <f aca="false">G452-H452</f>
        <v>91094.15556</v>
      </c>
      <c r="J452" s="8" t="n">
        <v>239169.87</v>
      </c>
      <c r="K452" s="9" t="n">
        <v>0.0957</v>
      </c>
      <c r="L452" s="9" t="n">
        <v>0.6785</v>
      </c>
      <c r="M452" s="10" t="n">
        <f aca="false">J452*(1-K452)</f>
        <v>216281.313441</v>
      </c>
      <c r="N452" s="10" t="n">
        <f aca="false">M452*L452</f>
        <v>146746.871169719</v>
      </c>
      <c r="O452" s="10" t="n">
        <f aca="false">M452-N452</f>
        <v>69534.4422712815</v>
      </c>
      <c r="P452" s="10" t="n">
        <f aca="false">O452-I452</f>
        <v>-21559.7132887185</v>
      </c>
      <c r="Q452" s="10" t="n">
        <f aca="false">(J452-D452)*(1-E452)*(1-F452)</f>
        <v>-9298.06002</v>
      </c>
      <c r="R452" s="10" t="n">
        <f aca="false">J452*(E452-K452)*(1-F452)</f>
        <v>390.803567580001</v>
      </c>
      <c r="S452" s="10" t="n">
        <f aca="false">M452*(F452-L452)</f>
        <v>-12652.4568362985</v>
      </c>
      <c r="T452" s="10" t="n">
        <f aca="false">ROUND(P452-(Q452+R452+S452),2)</f>
        <v>0</v>
      </c>
    </row>
    <row r="453" customFormat="false" ht="15" hidden="false" customHeight="true" outlineLevel="0" collapsed="false">
      <c r="A453" s="7" t="s">
        <v>62</v>
      </c>
      <c r="B453" s="7" t="s">
        <v>74</v>
      </c>
      <c r="C453" s="7" t="s">
        <v>43</v>
      </c>
      <c r="D453" s="8" t="n">
        <v>276266.41</v>
      </c>
      <c r="E453" s="9" t="n">
        <v>0.1</v>
      </c>
      <c r="F453" s="9" t="n">
        <v>0.62</v>
      </c>
      <c r="G453" s="10" t="n">
        <f aca="false">D453*(1-E453)</f>
        <v>248639.769</v>
      </c>
      <c r="H453" s="10" t="n">
        <f aca="false">G453*F453</f>
        <v>154156.65678</v>
      </c>
      <c r="I453" s="10" t="n">
        <f aca="false">G453-H453</f>
        <v>94483.11222</v>
      </c>
      <c r="J453" s="8" t="n">
        <v>265289.05</v>
      </c>
      <c r="K453" s="9" t="n">
        <v>0.1023</v>
      </c>
      <c r="L453" s="9" t="n">
        <v>0.6737</v>
      </c>
      <c r="M453" s="10" t="n">
        <f aca="false">J453*(1-K453)</f>
        <v>238149.980185</v>
      </c>
      <c r="N453" s="10" t="n">
        <f aca="false">M453*L453</f>
        <v>160441.641650634</v>
      </c>
      <c r="O453" s="10" t="n">
        <f aca="false">M453-N453</f>
        <v>77708.3385343655</v>
      </c>
      <c r="P453" s="10" t="n">
        <f aca="false">O453-I453</f>
        <v>-16774.7736856345</v>
      </c>
      <c r="Q453" s="10" t="n">
        <f aca="false">(J453-D453)*(1-E453)*(1-F453)</f>
        <v>-3754.25712</v>
      </c>
      <c r="R453" s="10" t="n">
        <f aca="false">J453*(E453-K453)*(1-F453)</f>
        <v>-231.8626297</v>
      </c>
      <c r="S453" s="10" t="n">
        <f aca="false">M453*(F453-L453)</f>
        <v>-12788.6539359345</v>
      </c>
      <c r="T453" s="10" t="n">
        <f aca="false">ROUND(P453-(Q453+R453+S453),2)</f>
        <v>0</v>
      </c>
    </row>
    <row r="454" customFormat="false" ht="15" hidden="false" customHeight="true" outlineLevel="0" collapsed="false">
      <c r="A454" s="7" t="s">
        <v>63</v>
      </c>
      <c r="B454" s="7" t="s">
        <v>74</v>
      </c>
      <c r="C454" s="7" t="s">
        <v>43</v>
      </c>
      <c r="D454" s="8" t="n">
        <v>283586.57</v>
      </c>
      <c r="E454" s="9" t="n">
        <v>0.1</v>
      </c>
      <c r="F454" s="9" t="n">
        <v>0.62</v>
      </c>
      <c r="G454" s="10" t="n">
        <f aca="false">D454*(1-E454)</f>
        <v>255227.913</v>
      </c>
      <c r="H454" s="10" t="n">
        <f aca="false">G454*F454</f>
        <v>158241.30606</v>
      </c>
      <c r="I454" s="10" t="n">
        <f aca="false">G454-H454</f>
        <v>96986.60694</v>
      </c>
      <c r="J454" s="8" t="n">
        <v>280030.16</v>
      </c>
      <c r="K454" s="9" t="n">
        <v>0.0888</v>
      </c>
      <c r="L454" s="9" t="n">
        <v>0.6618</v>
      </c>
      <c r="M454" s="10" t="n">
        <f aca="false">J454*(1-K454)</f>
        <v>255163.481792</v>
      </c>
      <c r="N454" s="10" t="n">
        <f aca="false">M454*L454</f>
        <v>168867.192249946</v>
      </c>
      <c r="O454" s="10" t="n">
        <f aca="false">M454-N454</f>
        <v>86296.2895420544</v>
      </c>
      <c r="P454" s="10" t="n">
        <f aca="false">O454-I454</f>
        <v>-10690.3173979456</v>
      </c>
      <c r="Q454" s="10" t="n">
        <f aca="false">(J454-D454)*(1-E454)*(1-F454)</f>
        <v>-1216.29222000001</v>
      </c>
      <c r="R454" s="10" t="n">
        <f aca="false">J454*(E454-K454)*(1-F454)</f>
        <v>1191.80836096</v>
      </c>
      <c r="S454" s="10" t="n">
        <f aca="false">M454*(F454-L454)</f>
        <v>-10665.8335389056</v>
      </c>
      <c r="T454" s="10" t="n">
        <f aca="false">ROUND(P454-(Q454+R454+S454),2)</f>
        <v>0</v>
      </c>
    </row>
    <row r="455" customFormat="false" ht="15" hidden="false" customHeight="true" outlineLevel="0" collapsed="false">
      <c r="A455" s="7" t="s">
        <v>64</v>
      </c>
      <c r="B455" s="7" t="s">
        <v>74</v>
      </c>
      <c r="C455" s="7" t="s">
        <v>43</v>
      </c>
      <c r="D455" s="8" t="n">
        <v>299139.6</v>
      </c>
      <c r="E455" s="9" t="n">
        <v>0.1</v>
      </c>
      <c r="F455" s="9" t="n">
        <v>0.62</v>
      </c>
      <c r="G455" s="10" t="n">
        <f aca="false">D455*(1-E455)</f>
        <v>269225.64</v>
      </c>
      <c r="H455" s="10" t="n">
        <f aca="false">G455*F455</f>
        <v>166919.8968</v>
      </c>
      <c r="I455" s="10" t="n">
        <f aca="false">G455-H455</f>
        <v>102305.7432</v>
      </c>
      <c r="J455" s="8" t="n">
        <v>296075.59</v>
      </c>
      <c r="K455" s="9" t="n">
        <v>0.1021</v>
      </c>
      <c r="L455" s="9" t="n">
        <v>0.6793</v>
      </c>
      <c r="M455" s="10" t="n">
        <f aca="false">J455*(1-K455)</f>
        <v>265846.272261</v>
      </c>
      <c r="N455" s="10" t="n">
        <f aca="false">M455*L455</f>
        <v>180589.372746897</v>
      </c>
      <c r="O455" s="10" t="n">
        <f aca="false">M455-N455</f>
        <v>85256.8995141027</v>
      </c>
      <c r="P455" s="10" t="n">
        <f aca="false">O455-I455</f>
        <v>-17048.8436858973</v>
      </c>
      <c r="Q455" s="10" t="n">
        <f aca="false">(J455-D455)*(1-E455)*(1-F455)</f>
        <v>-1047.89141999998</v>
      </c>
      <c r="R455" s="10" t="n">
        <f aca="false">J455*(E455-K455)*(1-F455)</f>
        <v>-236.268320819999</v>
      </c>
      <c r="S455" s="10" t="n">
        <f aca="false">M455*(F455-L455)</f>
        <v>-15764.6839450773</v>
      </c>
      <c r="T455" s="10" t="n">
        <f aca="false">ROUND(P455-(Q455+R455+S455),2)</f>
        <v>0</v>
      </c>
    </row>
    <row r="456" customFormat="false" ht="15" hidden="false" customHeight="true" outlineLevel="0" collapsed="false">
      <c r="A456" s="7" t="s">
        <v>65</v>
      </c>
      <c r="B456" s="7" t="s">
        <v>74</v>
      </c>
      <c r="C456" s="7" t="s">
        <v>43</v>
      </c>
      <c r="D456" s="8" t="n">
        <v>355950.04</v>
      </c>
      <c r="E456" s="9" t="n">
        <v>0.1</v>
      </c>
      <c r="F456" s="9" t="n">
        <v>0.62</v>
      </c>
      <c r="G456" s="10" t="n">
        <f aca="false">D456*(1-E456)</f>
        <v>320355.036</v>
      </c>
      <c r="H456" s="10" t="n">
        <f aca="false">G456*F456</f>
        <v>198620.12232</v>
      </c>
      <c r="I456" s="10" t="n">
        <f aca="false">G456-H456</f>
        <v>121734.91368</v>
      </c>
      <c r="J456" s="8" t="n">
        <v>368112.57</v>
      </c>
      <c r="K456" s="9" t="n">
        <v>0.1024</v>
      </c>
      <c r="L456" s="9" t="n">
        <v>0.6707</v>
      </c>
      <c r="M456" s="10" t="n">
        <f aca="false">J456*(1-K456)</f>
        <v>330417.842832</v>
      </c>
      <c r="N456" s="10" t="n">
        <f aca="false">M456*L456</f>
        <v>221611.247187422</v>
      </c>
      <c r="O456" s="10" t="n">
        <f aca="false">M456-N456</f>
        <v>108806.595644578</v>
      </c>
      <c r="P456" s="10" t="n">
        <f aca="false">O456-I456</f>
        <v>-12928.3180354224</v>
      </c>
      <c r="Q456" s="10" t="n">
        <f aca="false">(J456-D456)*(1-E456)*(1-F456)</f>
        <v>4159.58526000001</v>
      </c>
      <c r="R456" s="10" t="n">
        <f aca="false">J456*(E456-K456)*(1-F456)</f>
        <v>-335.71866384</v>
      </c>
      <c r="S456" s="10" t="n">
        <f aca="false">M456*(F456-L456)</f>
        <v>-16752.1846315824</v>
      </c>
      <c r="T456" s="10" t="n">
        <f aca="false">ROUND(P456-(Q456+R456+S456),2)</f>
        <v>0</v>
      </c>
    </row>
    <row r="457" customFormat="false" ht="15" hidden="false" customHeight="true" outlineLevel="0" collapsed="false">
      <c r="A457" s="7" t="s">
        <v>66</v>
      </c>
      <c r="B457" s="7" t="s">
        <v>74</v>
      </c>
      <c r="C457" s="7" t="s">
        <v>43</v>
      </c>
      <c r="D457" s="8" t="n">
        <v>336317.84</v>
      </c>
      <c r="E457" s="9" t="n">
        <v>0.1</v>
      </c>
      <c r="F457" s="9" t="n">
        <v>0.62</v>
      </c>
      <c r="G457" s="10" t="n">
        <f aca="false">D457*(1-E457)</f>
        <v>302686.056</v>
      </c>
      <c r="H457" s="10" t="n">
        <f aca="false">G457*F457</f>
        <v>187665.35472</v>
      </c>
      <c r="I457" s="10" t="n">
        <f aca="false">G457-H457</f>
        <v>115020.70128</v>
      </c>
      <c r="J457" s="8" t="n">
        <v>344429.15</v>
      </c>
      <c r="K457" s="9" t="n">
        <v>0.0947</v>
      </c>
      <c r="L457" s="9" t="n">
        <v>0.6793</v>
      </c>
      <c r="M457" s="10" t="n">
        <f aca="false">J457*(1-K457)</f>
        <v>311811.709495</v>
      </c>
      <c r="N457" s="10" t="n">
        <f aca="false">M457*L457</f>
        <v>211813.694259954</v>
      </c>
      <c r="O457" s="10" t="n">
        <f aca="false">M457-N457</f>
        <v>99998.0152350465</v>
      </c>
      <c r="P457" s="10" t="n">
        <f aca="false">O457-I457</f>
        <v>-15022.6860449535</v>
      </c>
      <c r="Q457" s="10" t="n">
        <f aca="false">(J457-D457)*(1-E457)*(1-F457)</f>
        <v>2774.06802</v>
      </c>
      <c r="R457" s="10" t="n">
        <f aca="false">J457*(E457-K457)*(1-F457)</f>
        <v>693.6803081</v>
      </c>
      <c r="S457" s="10" t="n">
        <f aca="false">M457*(F457-L457)</f>
        <v>-18490.4343730535</v>
      </c>
      <c r="T457" s="10" t="n">
        <f aca="false">ROUND(P457-(Q457+R457+S457),2)</f>
        <v>0</v>
      </c>
    </row>
    <row r="458" customFormat="false" ht="15" hidden="false" customHeight="true" outlineLevel="0" collapsed="false">
      <c r="A458" s="7" t="s">
        <v>41</v>
      </c>
      <c r="B458" s="7" t="s">
        <v>74</v>
      </c>
      <c r="C458" s="7" t="s">
        <v>67</v>
      </c>
      <c r="D458" s="8" t="n">
        <v>166487.59</v>
      </c>
      <c r="E458" s="9" t="n">
        <v>0.12</v>
      </c>
      <c r="F458" s="9" t="n">
        <v>0.58</v>
      </c>
      <c r="G458" s="10" t="n">
        <f aca="false">D458*(1-E458)</f>
        <v>146509.0792</v>
      </c>
      <c r="H458" s="10" t="n">
        <f aca="false">G458*F458</f>
        <v>84975.265936</v>
      </c>
      <c r="I458" s="10" t="n">
        <f aca="false">G458-H458</f>
        <v>61533.813264</v>
      </c>
      <c r="J458" s="8" t="n">
        <v>168074.15</v>
      </c>
      <c r="K458" s="9" t="n">
        <v>0.138</v>
      </c>
      <c r="L458" s="9" t="n">
        <v>0.5893</v>
      </c>
      <c r="M458" s="10" t="n">
        <f aca="false">J458*(1-K458)</f>
        <v>144879.9173</v>
      </c>
      <c r="N458" s="10" t="n">
        <f aca="false">M458*L458</f>
        <v>85377.73526489</v>
      </c>
      <c r="O458" s="10" t="n">
        <f aca="false">M458-N458</f>
        <v>59502.18203511</v>
      </c>
      <c r="P458" s="10" t="n">
        <f aca="false">O458-I458</f>
        <v>-2031.63122889002</v>
      </c>
      <c r="Q458" s="10" t="n">
        <f aca="false">(J458-D458)*(1-E458)*(1-F458)</f>
        <v>586.392575999999</v>
      </c>
      <c r="R458" s="10" t="n">
        <f aca="false">J458*(E458-K458)*(1-F458)</f>
        <v>-1270.640574</v>
      </c>
      <c r="S458" s="10" t="n">
        <f aca="false">M458*(F458-L458)</f>
        <v>-1347.38323089001</v>
      </c>
      <c r="T458" s="10" t="n">
        <f aca="false">ROUND(P458-(Q458+R458+S458),2)</f>
        <v>-0</v>
      </c>
    </row>
    <row r="459" customFormat="false" ht="15" hidden="false" customHeight="true" outlineLevel="0" collapsed="false">
      <c r="A459" s="7" t="s">
        <v>44</v>
      </c>
      <c r="B459" s="7" t="s">
        <v>74</v>
      </c>
      <c r="C459" s="7" t="s">
        <v>67</v>
      </c>
      <c r="D459" s="8" t="n">
        <v>164090.17</v>
      </c>
      <c r="E459" s="9" t="n">
        <v>0.12</v>
      </c>
      <c r="F459" s="9" t="n">
        <v>0.58</v>
      </c>
      <c r="G459" s="10" t="n">
        <f aca="false">D459*(1-E459)</f>
        <v>144399.3496</v>
      </c>
      <c r="H459" s="10" t="n">
        <f aca="false">G459*F459</f>
        <v>83751.622768</v>
      </c>
      <c r="I459" s="10" t="n">
        <f aca="false">G459-H459</f>
        <v>60647.726832</v>
      </c>
      <c r="J459" s="8" t="n">
        <v>174247.21</v>
      </c>
      <c r="K459" s="9" t="n">
        <v>0.1168</v>
      </c>
      <c r="L459" s="9" t="n">
        <v>0.5948</v>
      </c>
      <c r="M459" s="10" t="n">
        <f aca="false">J459*(1-K459)</f>
        <v>153895.135872</v>
      </c>
      <c r="N459" s="10" t="n">
        <f aca="false">M459*L459</f>
        <v>91536.8268166656</v>
      </c>
      <c r="O459" s="10" t="n">
        <f aca="false">M459-N459</f>
        <v>62358.3090553344</v>
      </c>
      <c r="P459" s="10" t="n">
        <f aca="false">O459-I459</f>
        <v>1710.58222333438</v>
      </c>
      <c r="Q459" s="10" t="n">
        <f aca="false">(J459-D459)*(1-E459)*(1-F459)</f>
        <v>3754.04198399999</v>
      </c>
      <c r="R459" s="10" t="n">
        <f aca="false">J459*(E459-K459)*(1-F459)</f>
        <v>234.18825024</v>
      </c>
      <c r="S459" s="10" t="n">
        <f aca="false">M459*(F459-L459)</f>
        <v>-2277.64801090561</v>
      </c>
      <c r="T459" s="10" t="n">
        <f aca="false">ROUND(P459-(Q459+R459+S459),2)</f>
        <v>-0</v>
      </c>
    </row>
    <row r="460" customFormat="false" ht="15" hidden="false" customHeight="true" outlineLevel="0" collapsed="false">
      <c r="A460" s="7" t="s">
        <v>45</v>
      </c>
      <c r="B460" s="7" t="s">
        <v>74</v>
      </c>
      <c r="C460" s="7" t="s">
        <v>67</v>
      </c>
      <c r="D460" s="8" t="n">
        <v>178548.69</v>
      </c>
      <c r="E460" s="9" t="n">
        <v>0.12</v>
      </c>
      <c r="F460" s="9" t="n">
        <v>0.58</v>
      </c>
      <c r="G460" s="10" t="n">
        <f aca="false">D460*(1-E460)</f>
        <v>157122.8472</v>
      </c>
      <c r="H460" s="10" t="n">
        <f aca="false">G460*F460</f>
        <v>91131.251376</v>
      </c>
      <c r="I460" s="10" t="n">
        <f aca="false">G460-H460</f>
        <v>65991.595824</v>
      </c>
      <c r="J460" s="8" t="n">
        <v>165386.45</v>
      </c>
      <c r="K460" s="9" t="n">
        <v>0.1319</v>
      </c>
      <c r="L460" s="9" t="n">
        <v>0.5837</v>
      </c>
      <c r="M460" s="10" t="n">
        <f aca="false">J460*(1-K460)</f>
        <v>143571.977245</v>
      </c>
      <c r="N460" s="10" t="n">
        <f aca="false">M460*L460</f>
        <v>83802.9631179065</v>
      </c>
      <c r="O460" s="10" t="n">
        <f aca="false">M460-N460</f>
        <v>59769.0141270935</v>
      </c>
      <c r="P460" s="10" t="n">
        <f aca="false">O460-I460</f>
        <v>-6222.58169690649</v>
      </c>
      <c r="Q460" s="10" t="n">
        <f aca="false">(J460-D460)*(1-E460)*(1-F460)</f>
        <v>-4864.763904</v>
      </c>
      <c r="R460" s="10" t="n">
        <f aca="false">J460*(E460-K460)*(1-F460)</f>
        <v>-826.6014771</v>
      </c>
      <c r="S460" s="10" t="n">
        <f aca="false">M460*(F460-L460)</f>
        <v>-531.216315806505</v>
      </c>
      <c r="T460" s="10" t="n">
        <f aca="false">ROUND(P460-(Q460+R460+S460),2)</f>
        <v>0</v>
      </c>
    </row>
    <row r="461" customFormat="false" ht="15" hidden="false" customHeight="true" outlineLevel="0" collapsed="false">
      <c r="A461" s="7" t="s">
        <v>46</v>
      </c>
      <c r="B461" s="7" t="s">
        <v>74</v>
      </c>
      <c r="C461" s="7" t="s">
        <v>67</v>
      </c>
      <c r="D461" s="8" t="n">
        <v>185637.36</v>
      </c>
      <c r="E461" s="9" t="n">
        <v>0.12</v>
      </c>
      <c r="F461" s="9" t="n">
        <v>0.58</v>
      </c>
      <c r="G461" s="10" t="n">
        <f aca="false">D461*(1-E461)</f>
        <v>163360.8768</v>
      </c>
      <c r="H461" s="10" t="n">
        <f aca="false">G461*F461</f>
        <v>94749.308544</v>
      </c>
      <c r="I461" s="10" t="n">
        <f aca="false">G461-H461</f>
        <v>68611.568256</v>
      </c>
      <c r="J461" s="8" t="n">
        <v>193320.74</v>
      </c>
      <c r="K461" s="9" t="n">
        <v>0.1309</v>
      </c>
      <c r="L461" s="9" t="n">
        <v>0.5744</v>
      </c>
      <c r="M461" s="10" t="n">
        <f aca="false">J461*(1-K461)</f>
        <v>168015.055134</v>
      </c>
      <c r="N461" s="10" t="n">
        <f aca="false">M461*L461</f>
        <v>96507.8476689696</v>
      </c>
      <c r="O461" s="10" t="n">
        <f aca="false">M461-N461</f>
        <v>71507.2074650304</v>
      </c>
      <c r="P461" s="10" t="n">
        <f aca="false">O461-I461</f>
        <v>2895.6392090304</v>
      </c>
      <c r="Q461" s="10" t="n">
        <f aca="false">(J461-D461)*(1-E461)*(1-F461)</f>
        <v>2839.777248</v>
      </c>
      <c r="R461" s="10" t="n">
        <f aca="false">J461*(E461-K461)*(1-F461)</f>
        <v>-885.02234772</v>
      </c>
      <c r="S461" s="10" t="n">
        <f aca="false">M461*(F461-L461)</f>
        <v>940.88430875039</v>
      </c>
      <c r="T461" s="10" t="n">
        <f aca="false">ROUND(P461-(Q461+R461+S461),2)</f>
        <v>0</v>
      </c>
    </row>
    <row r="462" customFormat="false" ht="15" hidden="false" customHeight="true" outlineLevel="0" collapsed="false">
      <c r="A462" s="7" t="s">
        <v>47</v>
      </c>
      <c r="B462" s="7" t="s">
        <v>74</v>
      </c>
      <c r="C462" s="7" t="s">
        <v>67</v>
      </c>
      <c r="D462" s="8" t="n">
        <v>190905.77</v>
      </c>
      <c r="E462" s="9" t="n">
        <v>0.12</v>
      </c>
      <c r="F462" s="9" t="n">
        <v>0.58</v>
      </c>
      <c r="G462" s="10" t="n">
        <f aca="false">D462*(1-E462)</f>
        <v>167997.0776</v>
      </c>
      <c r="H462" s="10" t="n">
        <f aca="false">G462*F462</f>
        <v>97438.305008</v>
      </c>
      <c r="I462" s="10" t="n">
        <f aca="false">G462-H462</f>
        <v>70558.772592</v>
      </c>
      <c r="J462" s="8" t="n">
        <v>181487.46</v>
      </c>
      <c r="K462" s="9" t="n">
        <v>0.1259</v>
      </c>
      <c r="L462" s="9" t="n">
        <v>0.5869</v>
      </c>
      <c r="M462" s="10" t="n">
        <f aca="false">J462*(1-K462)</f>
        <v>158638.188786</v>
      </c>
      <c r="N462" s="10" t="n">
        <f aca="false">M462*L462</f>
        <v>93104.7529985034</v>
      </c>
      <c r="O462" s="10" t="n">
        <f aca="false">M462-N462</f>
        <v>65533.4357874966</v>
      </c>
      <c r="P462" s="10" t="n">
        <f aca="false">O462-I462</f>
        <v>-5025.33680450342</v>
      </c>
      <c r="Q462" s="10" t="n">
        <f aca="false">(J462-D462)*(1-E462)*(1-F462)</f>
        <v>-3481.007376</v>
      </c>
      <c r="R462" s="10" t="n">
        <f aca="false">J462*(E462-K462)*(1-F462)</f>
        <v>-449.725925880001</v>
      </c>
      <c r="S462" s="10" t="n">
        <f aca="false">M462*(F462-L462)</f>
        <v>-1094.6035026234</v>
      </c>
      <c r="T462" s="10" t="n">
        <f aca="false">ROUND(P462-(Q462+R462+S462),2)</f>
        <v>0</v>
      </c>
    </row>
    <row r="463" customFormat="false" ht="15" hidden="false" customHeight="true" outlineLevel="0" collapsed="false">
      <c r="A463" s="7" t="s">
        <v>48</v>
      </c>
      <c r="B463" s="7" t="s">
        <v>74</v>
      </c>
      <c r="C463" s="7" t="s">
        <v>67</v>
      </c>
      <c r="D463" s="8" t="n">
        <v>196233.37</v>
      </c>
      <c r="E463" s="9" t="n">
        <v>0.12</v>
      </c>
      <c r="F463" s="9" t="n">
        <v>0.58</v>
      </c>
      <c r="G463" s="10" t="n">
        <f aca="false">D463*(1-E463)</f>
        <v>172685.3656</v>
      </c>
      <c r="H463" s="10" t="n">
        <f aca="false">G463*F463</f>
        <v>100157.512048</v>
      </c>
      <c r="I463" s="10" t="n">
        <f aca="false">G463-H463</f>
        <v>72527.853552</v>
      </c>
      <c r="J463" s="8" t="n">
        <v>200607.75</v>
      </c>
      <c r="K463" s="9" t="n">
        <v>0.1199</v>
      </c>
      <c r="L463" s="9" t="n">
        <v>0.5749</v>
      </c>
      <c r="M463" s="10" t="n">
        <f aca="false">J463*(1-K463)</f>
        <v>176554.880775</v>
      </c>
      <c r="N463" s="10" t="n">
        <f aca="false">M463*L463</f>
        <v>101501.400957547</v>
      </c>
      <c r="O463" s="10" t="n">
        <f aca="false">M463-N463</f>
        <v>75053.4798174525</v>
      </c>
      <c r="P463" s="10" t="n">
        <f aca="false">O463-I463</f>
        <v>2525.62626545251</v>
      </c>
      <c r="Q463" s="10" t="n">
        <f aca="false">(J463-D463)*(1-E463)*(1-F463)</f>
        <v>1616.770848</v>
      </c>
      <c r="R463" s="10" t="n">
        <f aca="false">J463*(E463-K463)*(1-F463)</f>
        <v>8.42552549999907</v>
      </c>
      <c r="S463" s="10" t="n">
        <f aca="false">M463*(F463-L463)</f>
        <v>900.429891952499</v>
      </c>
      <c r="T463" s="10" t="n">
        <f aca="false">ROUND(P463-(Q463+R463+S463),2)</f>
        <v>0</v>
      </c>
    </row>
    <row r="464" customFormat="false" ht="15" hidden="false" customHeight="true" outlineLevel="0" collapsed="false">
      <c r="A464" s="7" t="s">
        <v>49</v>
      </c>
      <c r="B464" s="7" t="s">
        <v>74</v>
      </c>
      <c r="C464" s="7" t="s">
        <v>67</v>
      </c>
      <c r="D464" s="8" t="n">
        <v>193865.55</v>
      </c>
      <c r="E464" s="9" t="n">
        <v>0.12</v>
      </c>
      <c r="F464" s="9" t="n">
        <v>0.58</v>
      </c>
      <c r="G464" s="10" t="n">
        <f aca="false">D464*(1-E464)</f>
        <v>170601.684</v>
      </c>
      <c r="H464" s="10" t="n">
        <f aca="false">G464*F464</f>
        <v>98948.97672</v>
      </c>
      <c r="I464" s="10" t="n">
        <f aca="false">G464-H464</f>
        <v>71652.70728</v>
      </c>
      <c r="J464" s="8" t="n">
        <v>205490.63</v>
      </c>
      <c r="K464" s="9" t="n">
        <v>0.108</v>
      </c>
      <c r="L464" s="9" t="n">
        <v>0.581</v>
      </c>
      <c r="M464" s="10" t="n">
        <f aca="false">J464*(1-K464)</f>
        <v>183297.64196</v>
      </c>
      <c r="N464" s="10" t="n">
        <f aca="false">M464*L464</f>
        <v>106495.92997876</v>
      </c>
      <c r="O464" s="10" t="n">
        <f aca="false">M464-N464</f>
        <v>76801.71198124</v>
      </c>
      <c r="P464" s="10" t="n">
        <f aca="false">O464-I464</f>
        <v>5149.00470124</v>
      </c>
      <c r="Q464" s="10" t="n">
        <f aca="false">(J464-D464)*(1-E464)*(1-F464)</f>
        <v>4296.62956800001</v>
      </c>
      <c r="R464" s="10" t="n">
        <f aca="false">J464*(E464-K464)*(1-F464)</f>
        <v>1035.6727752</v>
      </c>
      <c r="S464" s="10" t="n">
        <f aca="false">M464*(F464-L464)</f>
        <v>-183.29764196</v>
      </c>
      <c r="T464" s="10" t="n">
        <f aca="false">ROUND(P464-(Q464+R464+S464),2)</f>
        <v>0</v>
      </c>
    </row>
    <row r="465" customFormat="false" ht="15" hidden="false" customHeight="true" outlineLevel="0" collapsed="false">
      <c r="A465" s="7" t="s">
        <v>50</v>
      </c>
      <c r="B465" s="7" t="s">
        <v>74</v>
      </c>
      <c r="C465" s="7" t="s">
        <v>67</v>
      </c>
      <c r="D465" s="8" t="n">
        <v>201205.8</v>
      </c>
      <c r="E465" s="9" t="n">
        <v>0.12</v>
      </c>
      <c r="F465" s="9" t="n">
        <v>0.58</v>
      </c>
      <c r="G465" s="10" t="n">
        <f aca="false">D465*(1-E465)</f>
        <v>177061.104</v>
      </c>
      <c r="H465" s="10" t="n">
        <f aca="false">G465*F465</f>
        <v>102695.44032</v>
      </c>
      <c r="I465" s="10" t="n">
        <f aca="false">G465-H465</f>
        <v>74365.66368</v>
      </c>
      <c r="J465" s="8" t="n">
        <v>217587.02</v>
      </c>
      <c r="K465" s="9" t="n">
        <v>0.1191</v>
      </c>
      <c r="L465" s="9" t="n">
        <v>0.5757</v>
      </c>
      <c r="M465" s="10" t="n">
        <f aca="false">J465*(1-K465)</f>
        <v>191672.405918</v>
      </c>
      <c r="N465" s="10" t="n">
        <f aca="false">M465*L465</f>
        <v>110345.804086993</v>
      </c>
      <c r="O465" s="10" t="n">
        <f aca="false">M465-N465</f>
        <v>81326.6018310074</v>
      </c>
      <c r="P465" s="10" t="n">
        <f aca="false">O465-I465</f>
        <v>6960.9381510074</v>
      </c>
      <c r="Q465" s="10" t="n">
        <f aca="false">(J465-D465)*(1-E465)*(1-F465)</f>
        <v>6054.498912</v>
      </c>
      <c r="R465" s="10" t="n">
        <f aca="false">J465*(E465-K465)*(1-F465)</f>
        <v>82.2478935599998</v>
      </c>
      <c r="S465" s="10" t="n">
        <f aca="false">M465*(F465-L465)</f>
        <v>824.191345447394</v>
      </c>
      <c r="T465" s="10" t="n">
        <f aca="false">ROUND(P465-(Q465+R465+S465),2)</f>
        <v>0</v>
      </c>
    </row>
    <row r="466" customFormat="false" ht="15" hidden="false" customHeight="true" outlineLevel="0" collapsed="false">
      <c r="A466" s="7" t="s">
        <v>51</v>
      </c>
      <c r="B466" s="7" t="s">
        <v>74</v>
      </c>
      <c r="C466" s="7" t="s">
        <v>67</v>
      </c>
      <c r="D466" s="8" t="n">
        <v>206666.59</v>
      </c>
      <c r="E466" s="9" t="n">
        <v>0.12</v>
      </c>
      <c r="F466" s="9" t="n">
        <v>0.58</v>
      </c>
      <c r="G466" s="10" t="n">
        <f aca="false">D466*(1-E466)</f>
        <v>181866.5992</v>
      </c>
      <c r="H466" s="10" t="n">
        <f aca="false">G466*F466</f>
        <v>105482.627536</v>
      </c>
      <c r="I466" s="10" t="n">
        <f aca="false">G466-H466</f>
        <v>76383.971664</v>
      </c>
      <c r="J466" s="8" t="n">
        <v>205282.37</v>
      </c>
      <c r="K466" s="9" t="n">
        <v>0.1143</v>
      </c>
      <c r="L466" s="9" t="n">
        <v>0.5942</v>
      </c>
      <c r="M466" s="10" t="n">
        <f aca="false">J466*(1-K466)</f>
        <v>181818.595109</v>
      </c>
      <c r="N466" s="10" t="n">
        <f aca="false">M466*L466</f>
        <v>108036.609213768</v>
      </c>
      <c r="O466" s="10" t="n">
        <f aca="false">M466-N466</f>
        <v>73781.9858952322</v>
      </c>
      <c r="P466" s="10" t="n">
        <f aca="false">O466-I466</f>
        <v>-2601.9857687678</v>
      </c>
      <c r="Q466" s="10" t="n">
        <f aca="false">(J466-D466)*(1-E466)*(1-F466)</f>
        <v>-511.607712000001</v>
      </c>
      <c r="R466" s="10" t="n">
        <f aca="false">J466*(E466-K466)*(1-F466)</f>
        <v>491.44599378</v>
      </c>
      <c r="S466" s="10" t="n">
        <f aca="false">M466*(F466-L466)</f>
        <v>-2581.8240505478</v>
      </c>
      <c r="T466" s="10" t="n">
        <f aca="false">ROUND(P466-(Q466+R466+S466),2)</f>
        <v>0</v>
      </c>
    </row>
    <row r="467" customFormat="false" ht="15" hidden="false" customHeight="true" outlineLevel="0" collapsed="false">
      <c r="A467" s="7" t="s">
        <v>52</v>
      </c>
      <c r="B467" s="7" t="s">
        <v>74</v>
      </c>
      <c r="C467" s="7" t="s">
        <v>67</v>
      </c>
      <c r="D467" s="8" t="n">
        <v>218135.74</v>
      </c>
      <c r="E467" s="9" t="n">
        <v>0.12</v>
      </c>
      <c r="F467" s="9" t="n">
        <v>0.58</v>
      </c>
      <c r="G467" s="10" t="n">
        <f aca="false">D467*(1-E467)</f>
        <v>191959.4512</v>
      </c>
      <c r="H467" s="10" t="n">
        <f aca="false">G467*F467</f>
        <v>111336.481696</v>
      </c>
      <c r="I467" s="10" t="n">
        <f aca="false">G467-H467</f>
        <v>80622.969504</v>
      </c>
      <c r="J467" s="8" t="n">
        <v>214352.08</v>
      </c>
      <c r="K467" s="9" t="n">
        <v>0.1237</v>
      </c>
      <c r="L467" s="9" t="n">
        <v>0.5812</v>
      </c>
      <c r="M467" s="10" t="n">
        <f aca="false">J467*(1-K467)</f>
        <v>187836.727704</v>
      </c>
      <c r="N467" s="10" t="n">
        <f aca="false">M467*L467</f>
        <v>109170.706141565</v>
      </c>
      <c r="O467" s="10" t="n">
        <f aca="false">M467-N467</f>
        <v>78666.0215624352</v>
      </c>
      <c r="P467" s="10" t="n">
        <f aca="false">O467-I467</f>
        <v>-1956.94794156481</v>
      </c>
      <c r="Q467" s="10" t="n">
        <f aca="false">(J467-D467)*(1-E467)*(1-F467)</f>
        <v>-1398.440736</v>
      </c>
      <c r="R467" s="10" t="n">
        <f aca="false">J467*(E467-K467)*(1-F467)</f>
        <v>-333.103132320001</v>
      </c>
      <c r="S467" s="10" t="n">
        <f aca="false">M467*(F467-L467)</f>
        <v>-225.404073244817</v>
      </c>
      <c r="T467" s="10" t="n">
        <f aca="false">ROUND(P467-(Q467+R467+S467),2)</f>
        <v>0</v>
      </c>
    </row>
    <row r="468" customFormat="false" ht="15" hidden="false" customHeight="true" outlineLevel="0" collapsed="false">
      <c r="A468" s="7" t="s">
        <v>53</v>
      </c>
      <c r="B468" s="7" t="s">
        <v>74</v>
      </c>
      <c r="C468" s="7" t="s">
        <v>67</v>
      </c>
      <c r="D468" s="8" t="n">
        <v>259720.64</v>
      </c>
      <c r="E468" s="9" t="n">
        <v>0.12</v>
      </c>
      <c r="F468" s="9" t="n">
        <v>0.58</v>
      </c>
      <c r="G468" s="10" t="n">
        <f aca="false">D468*(1-E468)</f>
        <v>228554.1632</v>
      </c>
      <c r="H468" s="10" t="n">
        <f aca="false">G468*F468</f>
        <v>132561.414656</v>
      </c>
      <c r="I468" s="10" t="n">
        <f aca="false">G468-H468</f>
        <v>95992.748544</v>
      </c>
      <c r="J468" s="8" t="n">
        <v>272931.44</v>
      </c>
      <c r="K468" s="9" t="n">
        <v>0.1265</v>
      </c>
      <c r="L468" s="9" t="n">
        <v>0.573</v>
      </c>
      <c r="M468" s="10" t="n">
        <f aca="false">J468*(1-K468)</f>
        <v>238405.61284</v>
      </c>
      <c r="N468" s="10" t="n">
        <f aca="false">M468*L468</f>
        <v>136606.41615732</v>
      </c>
      <c r="O468" s="10" t="n">
        <f aca="false">M468-N468</f>
        <v>101799.19668268</v>
      </c>
      <c r="P468" s="10" t="n">
        <f aca="false">O468-I468</f>
        <v>5806.44813868002</v>
      </c>
      <c r="Q468" s="10" t="n">
        <f aca="false">(J468-D468)*(1-E468)*(1-F468)</f>
        <v>4882.71168</v>
      </c>
      <c r="R468" s="10" t="n">
        <f aca="false">J468*(E468-K468)*(1-F468)</f>
        <v>-745.102831200001</v>
      </c>
      <c r="S468" s="10" t="n">
        <f aca="false">M468*(F468-L468)</f>
        <v>1668.83928988</v>
      </c>
      <c r="T468" s="10" t="n">
        <f aca="false">ROUND(P468-(Q468+R468+S468),2)</f>
        <v>0</v>
      </c>
    </row>
    <row r="469" customFormat="false" ht="15" hidden="false" customHeight="true" outlineLevel="0" collapsed="false">
      <c r="A469" s="7" t="s">
        <v>54</v>
      </c>
      <c r="B469" s="7" t="s">
        <v>74</v>
      </c>
      <c r="C469" s="7" t="s">
        <v>67</v>
      </c>
      <c r="D469" s="8" t="n">
        <v>245543.3</v>
      </c>
      <c r="E469" s="9" t="n">
        <v>0.12</v>
      </c>
      <c r="F469" s="9" t="n">
        <v>0.58</v>
      </c>
      <c r="G469" s="10" t="n">
        <f aca="false">D469*(1-E469)</f>
        <v>216078.104</v>
      </c>
      <c r="H469" s="10" t="n">
        <f aca="false">G469*F469</f>
        <v>125325.30032</v>
      </c>
      <c r="I469" s="10" t="n">
        <f aca="false">G469-H469</f>
        <v>90752.80368</v>
      </c>
      <c r="J469" s="8" t="n">
        <v>254653.59</v>
      </c>
      <c r="K469" s="9" t="n">
        <v>0.1109</v>
      </c>
      <c r="L469" s="9" t="n">
        <v>0.5757</v>
      </c>
      <c r="M469" s="10" t="n">
        <f aca="false">J469*(1-K469)</f>
        <v>226412.506869</v>
      </c>
      <c r="N469" s="10" t="n">
        <f aca="false">M469*L469</f>
        <v>130345.680204483</v>
      </c>
      <c r="O469" s="10" t="n">
        <f aca="false">M469-N469</f>
        <v>96066.8266645167</v>
      </c>
      <c r="P469" s="10" t="n">
        <f aca="false">O469-I469</f>
        <v>5314.02298451669</v>
      </c>
      <c r="Q469" s="10" t="n">
        <f aca="false">(J469-D469)*(1-E469)*(1-F469)</f>
        <v>3367.163184</v>
      </c>
      <c r="R469" s="10" t="n">
        <f aca="false">J469*(E469-K469)*(1-F469)</f>
        <v>973.28602098</v>
      </c>
      <c r="S469" s="10" t="n">
        <f aca="false">M469*(F469-L469)</f>
        <v>973.573779536693</v>
      </c>
      <c r="T469" s="10" t="n">
        <f aca="false">ROUND(P469-(Q469+R469+S469),2)</f>
        <v>0</v>
      </c>
    </row>
    <row r="470" customFormat="false" ht="15" hidden="false" customHeight="true" outlineLevel="0" collapsed="false">
      <c r="A470" s="7" t="s">
        <v>55</v>
      </c>
      <c r="B470" s="7" t="s">
        <v>74</v>
      </c>
      <c r="C470" s="7" t="s">
        <v>67</v>
      </c>
      <c r="D470" s="8" t="n">
        <v>182470.4</v>
      </c>
      <c r="E470" s="9" t="n">
        <v>0.12</v>
      </c>
      <c r="F470" s="9" t="n">
        <v>0.58</v>
      </c>
      <c r="G470" s="10" t="n">
        <f aca="false">D470*(1-E470)</f>
        <v>160573.952</v>
      </c>
      <c r="H470" s="10" t="n">
        <f aca="false">G470*F470</f>
        <v>93132.89216</v>
      </c>
      <c r="I470" s="10" t="n">
        <f aca="false">G470-H470</f>
        <v>67441.05984</v>
      </c>
      <c r="J470" s="8" t="n">
        <v>186931.16</v>
      </c>
      <c r="K470" s="9" t="n">
        <v>0.1418</v>
      </c>
      <c r="L470" s="9" t="n">
        <v>0.5845</v>
      </c>
      <c r="M470" s="10" t="n">
        <f aca="false">J470*(1-K470)</f>
        <v>160424.321512</v>
      </c>
      <c r="N470" s="10" t="n">
        <f aca="false">M470*L470</f>
        <v>93768.015923764</v>
      </c>
      <c r="O470" s="10" t="n">
        <f aca="false">M470-N470</f>
        <v>66656.305588236</v>
      </c>
      <c r="P470" s="10" t="n">
        <f aca="false">O470-I470</f>
        <v>-784.75425176401</v>
      </c>
      <c r="Q470" s="10" t="n">
        <f aca="false">(J470-D470)*(1-E470)*(1-F470)</f>
        <v>1648.696896</v>
      </c>
      <c r="R470" s="10" t="n">
        <f aca="false">J470*(E470-K470)*(1-F470)</f>
        <v>-1711.54170096</v>
      </c>
      <c r="S470" s="10" t="n">
        <f aca="false">M470*(F470-L470)</f>
        <v>-721.90944680401</v>
      </c>
      <c r="T470" s="10" t="n">
        <f aca="false">ROUND(P470-(Q470+R470+S470),2)</f>
        <v>-0</v>
      </c>
    </row>
    <row r="471" customFormat="false" ht="15" hidden="false" customHeight="true" outlineLevel="0" collapsed="false">
      <c r="A471" s="7" t="s">
        <v>56</v>
      </c>
      <c r="B471" s="7" t="s">
        <v>74</v>
      </c>
      <c r="C471" s="7" t="s">
        <v>67</v>
      </c>
      <c r="D471" s="8" t="n">
        <v>179717.8</v>
      </c>
      <c r="E471" s="9" t="n">
        <v>0.12</v>
      </c>
      <c r="F471" s="9" t="n">
        <v>0.58</v>
      </c>
      <c r="G471" s="10" t="n">
        <f aca="false">D471*(1-E471)</f>
        <v>158151.664</v>
      </c>
      <c r="H471" s="10" t="n">
        <f aca="false">G471*F471</f>
        <v>91727.96512</v>
      </c>
      <c r="I471" s="10" t="n">
        <f aca="false">G471-H471</f>
        <v>66423.69888</v>
      </c>
      <c r="J471" s="8" t="n">
        <v>176217.55</v>
      </c>
      <c r="K471" s="9" t="n">
        <v>0.1358</v>
      </c>
      <c r="L471" s="9" t="n">
        <v>0.5899</v>
      </c>
      <c r="M471" s="10" t="n">
        <f aca="false">J471*(1-K471)</f>
        <v>152287.20671</v>
      </c>
      <c r="N471" s="10" t="n">
        <f aca="false">M471*L471</f>
        <v>89834.223238229</v>
      </c>
      <c r="O471" s="10" t="n">
        <f aca="false">M471-N471</f>
        <v>62452.983471771</v>
      </c>
      <c r="P471" s="10" t="n">
        <f aca="false">O471-I471</f>
        <v>-3970.71540822899</v>
      </c>
      <c r="Q471" s="10" t="n">
        <f aca="false">(J471-D471)*(1-E471)*(1-F471)</f>
        <v>-1293.6924</v>
      </c>
      <c r="R471" s="10" t="n">
        <f aca="false">J471*(E471-K471)*(1-F471)</f>
        <v>-1169.3796618</v>
      </c>
      <c r="S471" s="10" t="n">
        <f aca="false">M471*(F471-L471)</f>
        <v>-1507.643346429</v>
      </c>
      <c r="T471" s="10" t="n">
        <f aca="false">ROUND(P471-(Q471+R471+S471),2)</f>
        <v>0</v>
      </c>
    </row>
    <row r="472" customFormat="false" ht="15" hidden="false" customHeight="true" outlineLevel="0" collapsed="false">
      <c r="A472" s="7" t="s">
        <v>57</v>
      </c>
      <c r="B472" s="7" t="s">
        <v>74</v>
      </c>
      <c r="C472" s="7" t="s">
        <v>67</v>
      </c>
      <c r="D472" s="8" t="n">
        <v>195419.43</v>
      </c>
      <c r="E472" s="9" t="n">
        <v>0.12</v>
      </c>
      <c r="F472" s="9" t="n">
        <v>0.58</v>
      </c>
      <c r="G472" s="10" t="n">
        <f aca="false">D472*(1-E472)</f>
        <v>171969.0984</v>
      </c>
      <c r="H472" s="10" t="n">
        <f aca="false">G472*F472</f>
        <v>99742.077072</v>
      </c>
      <c r="I472" s="10" t="n">
        <f aca="false">G472-H472</f>
        <v>72227.021328</v>
      </c>
      <c r="J472" s="8" t="n">
        <v>184572.19</v>
      </c>
      <c r="K472" s="9" t="n">
        <v>0.1105</v>
      </c>
      <c r="L472" s="9" t="n">
        <v>0.5772</v>
      </c>
      <c r="M472" s="10" t="n">
        <f aca="false">J472*(1-K472)</f>
        <v>164176.963005</v>
      </c>
      <c r="N472" s="10" t="n">
        <f aca="false">M472*L472</f>
        <v>94762.943046486</v>
      </c>
      <c r="O472" s="10" t="n">
        <f aca="false">M472-N472</f>
        <v>69414.019958514</v>
      </c>
      <c r="P472" s="10" t="n">
        <f aca="false">O472-I472</f>
        <v>-2813.00136948601</v>
      </c>
      <c r="Q472" s="10" t="n">
        <f aca="false">(J472-D472)*(1-E472)*(1-F472)</f>
        <v>-4009.139904</v>
      </c>
      <c r="R472" s="10" t="n">
        <f aca="false">J472*(E472-K472)*(1-F472)</f>
        <v>736.4430381</v>
      </c>
      <c r="S472" s="10" t="n">
        <f aca="false">M472*(F472-L472)</f>
        <v>459.695496413986</v>
      </c>
      <c r="T472" s="10" t="n">
        <f aca="false">ROUND(P472-(Q472+R472+S472),2)</f>
        <v>0</v>
      </c>
    </row>
    <row r="473" customFormat="false" ht="15" hidden="false" customHeight="true" outlineLevel="0" collapsed="false">
      <c r="A473" s="7" t="s">
        <v>58</v>
      </c>
      <c r="B473" s="7" t="s">
        <v>74</v>
      </c>
      <c r="C473" s="7" t="s">
        <v>67</v>
      </c>
      <c r="D473" s="8" t="n">
        <v>203040.86</v>
      </c>
      <c r="E473" s="9" t="n">
        <v>0.12</v>
      </c>
      <c r="F473" s="9" t="n">
        <v>0.58</v>
      </c>
      <c r="G473" s="10" t="n">
        <f aca="false">D473*(1-E473)</f>
        <v>178675.9568</v>
      </c>
      <c r="H473" s="10" t="n">
        <f aca="false">G473*F473</f>
        <v>103632.054944</v>
      </c>
      <c r="I473" s="10" t="n">
        <f aca="false">G473-H473</f>
        <v>75043.901856</v>
      </c>
      <c r="J473" s="8" t="n">
        <v>190573.1</v>
      </c>
      <c r="K473" s="9" t="n">
        <v>0.1173</v>
      </c>
      <c r="L473" s="9" t="n">
        <v>0.5727</v>
      </c>
      <c r="M473" s="10" t="n">
        <f aca="false">J473*(1-K473)</f>
        <v>168218.87537</v>
      </c>
      <c r="N473" s="10" t="n">
        <f aca="false">M473*L473</f>
        <v>96338.949924399</v>
      </c>
      <c r="O473" s="10" t="n">
        <f aca="false">M473-N473</f>
        <v>71879.925445601</v>
      </c>
      <c r="P473" s="10" t="n">
        <f aca="false">O473-I473</f>
        <v>-3163.97641039899</v>
      </c>
      <c r="Q473" s="10" t="n">
        <f aca="false">(J473-D473)*(1-E473)*(1-F473)</f>
        <v>-4608.08409599999</v>
      </c>
      <c r="R473" s="10" t="n">
        <f aca="false">J473*(E473-K473)*(1-F473)</f>
        <v>216.1098954</v>
      </c>
      <c r="S473" s="10" t="n">
        <f aca="false">M473*(F473-L473)</f>
        <v>1227.997790201</v>
      </c>
      <c r="T473" s="10" t="n">
        <f aca="false">ROUND(P473-(Q473+R473+S473),2)</f>
        <v>0</v>
      </c>
    </row>
    <row r="474" customFormat="false" ht="15" hidden="false" customHeight="true" outlineLevel="0" collapsed="false">
      <c r="A474" s="7" t="s">
        <v>59</v>
      </c>
      <c r="B474" s="7" t="s">
        <v>74</v>
      </c>
      <c r="C474" s="7" t="s">
        <v>67</v>
      </c>
      <c r="D474" s="8" t="n">
        <v>208664.44</v>
      </c>
      <c r="E474" s="9" t="n">
        <v>0.12</v>
      </c>
      <c r="F474" s="9" t="n">
        <v>0.58</v>
      </c>
      <c r="G474" s="10" t="n">
        <f aca="false">D474*(1-E474)</f>
        <v>183624.7072</v>
      </c>
      <c r="H474" s="10" t="n">
        <f aca="false">G474*F474</f>
        <v>106502.330176</v>
      </c>
      <c r="I474" s="10" t="n">
        <f aca="false">G474-H474</f>
        <v>77122.377024</v>
      </c>
      <c r="J474" s="8" t="n">
        <v>237139.6</v>
      </c>
      <c r="K474" s="9" t="n">
        <v>0.1204</v>
      </c>
      <c r="L474" s="9" t="n">
        <v>0.5678</v>
      </c>
      <c r="M474" s="10" t="n">
        <f aca="false">J474*(1-K474)</f>
        <v>208587.99216</v>
      </c>
      <c r="N474" s="10" t="n">
        <f aca="false">M474*L474</f>
        <v>118436.261948448</v>
      </c>
      <c r="O474" s="10" t="n">
        <f aca="false">M474-N474</f>
        <v>90151.730211552</v>
      </c>
      <c r="P474" s="10" t="n">
        <f aca="false">O474-I474</f>
        <v>13029.353187552</v>
      </c>
      <c r="Q474" s="10" t="n">
        <f aca="false">(J474-D474)*(1-E474)*(1-F474)</f>
        <v>10524.419136</v>
      </c>
      <c r="R474" s="10" t="n">
        <f aca="false">J474*(E474-K474)*(1-F474)</f>
        <v>-39.8394527999998</v>
      </c>
      <c r="S474" s="10" t="n">
        <f aca="false">M474*(F474-L474)</f>
        <v>2544.773504352</v>
      </c>
      <c r="T474" s="10" t="n">
        <f aca="false">ROUND(P474-(Q474+R474+S474),2)</f>
        <v>0</v>
      </c>
    </row>
    <row r="475" customFormat="false" ht="15" hidden="false" customHeight="true" outlineLevel="0" collapsed="false">
      <c r="A475" s="7" t="s">
        <v>60</v>
      </c>
      <c r="B475" s="7" t="s">
        <v>74</v>
      </c>
      <c r="C475" s="7" t="s">
        <v>67</v>
      </c>
      <c r="D475" s="8" t="n">
        <v>214347.22</v>
      </c>
      <c r="E475" s="9" t="n">
        <v>0.12</v>
      </c>
      <c r="F475" s="9" t="n">
        <v>0.58</v>
      </c>
      <c r="G475" s="10" t="n">
        <f aca="false">D475*(1-E475)</f>
        <v>188625.5536</v>
      </c>
      <c r="H475" s="10" t="n">
        <f aca="false">G475*F475</f>
        <v>109402.821088</v>
      </c>
      <c r="I475" s="10" t="n">
        <f aca="false">G475-H475</f>
        <v>79222.732512</v>
      </c>
      <c r="J475" s="8" t="n">
        <v>208764.23</v>
      </c>
      <c r="K475" s="9" t="n">
        <v>0.1228</v>
      </c>
      <c r="L475" s="9" t="n">
        <v>0.5809</v>
      </c>
      <c r="M475" s="10" t="n">
        <f aca="false">J475*(1-K475)</f>
        <v>183127.982556</v>
      </c>
      <c r="N475" s="10" t="n">
        <f aca="false">M475*L475</f>
        <v>106379.04506678</v>
      </c>
      <c r="O475" s="10" t="n">
        <f aca="false">M475-N475</f>
        <v>76748.9374892196</v>
      </c>
      <c r="P475" s="10" t="n">
        <f aca="false">O475-I475</f>
        <v>-2473.79502278041</v>
      </c>
      <c r="Q475" s="10" t="n">
        <f aca="false">(J475-D475)*(1-E475)*(1-F475)</f>
        <v>-2063.473104</v>
      </c>
      <c r="R475" s="10" t="n">
        <f aca="false">J475*(E475-K475)*(1-F475)</f>
        <v>-245.506734480001</v>
      </c>
      <c r="S475" s="10" t="n">
        <f aca="false">M475*(F475-L475)</f>
        <v>-164.815184300402</v>
      </c>
      <c r="T475" s="10" t="n">
        <f aca="false">ROUND(P475-(Q475+R475+S475),2)</f>
        <v>-0</v>
      </c>
    </row>
    <row r="476" customFormat="false" ht="15" hidden="false" customHeight="true" outlineLevel="0" collapsed="false">
      <c r="A476" s="7" t="s">
        <v>61</v>
      </c>
      <c r="B476" s="7" t="s">
        <v>74</v>
      </c>
      <c r="C476" s="7" t="s">
        <v>67</v>
      </c>
      <c r="D476" s="8" t="n">
        <v>211624.22</v>
      </c>
      <c r="E476" s="9" t="n">
        <v>0.12</v>
      </c>
      <c r="F476" s="9" t="n">
        <v>0.58</v>
      </c>
      <c r="G476" s="10" t="n">
        <f aca="false">D476*(1-E476)</f>
        <v>186229.3136</v>
      </c>
      <c r="H476" s="10" t="n">
        <f aca="false">G476*F476</f>
        <v>108013.001888</v>
      </c>
      <c r="I476" s="10" t="n">
        <f aca="false">G476-H476</f>
        <v>78216.311712</v>
      </c>
      <c r="J476" s="8" t="n">
        <v>213836.55</v>
      </c>
      <c r="K476" s="9" t="n">
        <v>0.1281</v>
      </c>
      <c r="L476" s="9" t="n">
        <v>0.5817</v>
      </c>
      <c r="M476" s="10" t="n">
        <f aca="false">J476*(1-K476)</f>
        <v>186444.087945</v>
      </c>
      <c r="N476" s="10" t="n">
        <f aca="false">M476*L476</f>
        <v>108454.525957606</v>
      </c>
      <c r="O476" s="10" t="n">
        <f aca="false">M476-N476</f>
        <v>77989.5619873935</v>
      </c>
      <c r="P476" s="10" t="n">
        <f aca="false">O476-I476</f>
        <v>-226.749724606518</v>
      </c>
      <c r="Q476" s="10" t="n">
        <f aca="false">(J476-D476)*(1-E476)*(1-F476)</f>
        <v>817.677167999995</v>
      </c>
      <c r="R476" s="10" t="n">
        <f aca="false">J476*(E476-K476)*(1-F476)</f>
        <v>-727.4719431</v>
      </c>
      <c r="S476" s="10" t="n">
        <f aca="false">M476*(F476-L476)</f>
        <v>-316.954949506506</v>
      </c>
      <c r="T476" s="10" t="n">
        <f aca="false">ROUND(P476-(Q476+R476+S476),2)</f>
        <v>-0</v>
      </c>
    </row>
    <row r="477" customFormat="false" ht="15" hidden="false" customHeight="true" outlineLevel="0" collapsed="false">
      <c r="A477" s="7" t="s">
        <v>62</v>
      </c>
      <c r="B477" s="7" t="s">
        <v>74</v>
      </c>
      <c r="C477" s="7" t="s">
        <v>67</v>
      </c>
      <c r="D477" s="8" t="n">
        <v>219497.24</v>
      </c>
      <c r="E477" s="9" t="n">
        <v>0.12</v>
      </c>
      <c r="F477" s="9" t="n">
        <v>0.58</v>
      </c>
      <c r="G477" s="10" t="n">
        <f aca="false">D477*(1-E477)</f>
        <v>193157.5712</v>
      </c>
      <c r="H477" s="10" t="n">
        <f aca="false">G477*F477</f>
        <v>112031.391296</v>
      </c>
      <c r="I477" s="10" t="n">
        <f aca="false">G477-H477</f>
        <v>81126.179904</v>
      </c>
      <c r="J477" s="8" t="n">
        <v>234990.09</v>
      </c>
      <c r="K477" s="9" t="n">
        <v>0.1143</v>
      </c>
      <c r="L477" s="9" t="n">
        <v>0.5797</v>
      </c>
      <c r="M477" s="10" t="n">
        <f aca="false">J477*(1-K477)</f>
        <v>208130.722713</v>
      </c>
      <c r="N477" s="10" t="n">
        <f aca="false">M477*L477</f>
        <v>120653.379956726</v>
      </c>
      <c r="O477" s="10" t="n">
        <f aca="false">M477-N477</f>
        <v>87477.3427562739</v>
      </c>
      <c r="P477" s="10" t="n">
        <f aca="false">O477-I477</f>
        <v>6351.16285227389</v>
      </c>
      <c r="Q477" s="10" t="n">
        <f aca="false">(J477-D477)*(1-E477)*(1-F477)</f>
        <v>5726.15736</v>
      </c>
      <c r="R477" s="10" t="n">
        <f aca="false">J477*(E477-K477)*(1-F477)</f>
        <v>562.56627546</v>
      </c>
      <c r="S477" s="10" t="n">
        <f aca="false">M477*(F477-L477)</f>
        <v>62.4392168138931</v>
      </c>
      <c r="T477" s="10" t="n">
        <f aca="false">ROUND(P477-(Q477+R477+S477),2)</f>
        <v>0</v>
      </c>
    </row>
    <row r="478" customFormat="false" ht="15" hidden="false" customHeight="true" outlineLevel="0" collapsed="false">
      <c r="A478" s="7" t="s">
        <v>63</v>
      </c>
      <c r="B478" s="7" t="s">
        <v>74</v>
      </c>
      <c r="C478" s="7" t="s">
        <v>67</v>
      </c>
      <c r="D478" s="8" t="n">
        <v>225313.2</v>
      </c>
      <c r="E478" s="9" t="n">
        <v>0.12</v>
      </c>
      <c r="F478" s="9" t="n">
        <v>0.58</v>
      </c>
      <c r="G478" s="10" t="n">
        <f aca="false">D478*(1-E478)</f>
        <v>198275.616</v>
      </c>
      <c r="H478" s="10" t="n">
        <f aca="false">G478*F478</f>
        <v>114999.85728</v>
      </c>
      <c r="I478" s="10" t="n">
        <f aca="false">G478-H478</f>
        <v>83275.75872</v>
      </c>
      <c r="J478" s="8" t="n">
        <v>213087.71</v>
      </c>
      <c r="K478" s="9" t="n">
        <v>0.1116</v>
      </c>
      <c r="L478" s="9" t="n">
        <v>0.5828</v>
      </c>
      <c r="M478" s="10" t="n">
        <f aca="false">J478*(1-K478)</f>
        <v>189307.121564</v>
      </c>
      <c r="N478" s="10" t="n">
        <f aca="false">M478*L478</f>
        <v>110328.190447499</v>
      </c>
      <c r="O478" s="10" t="n">
        <f aca="false">M478-N478</f>
        <v>78978.9311165008</v>
      </c>
      <c r="P478" s="10" t="n">
        <f aca="false">O478-I478</f>
        <v>-4296.82760349922</v>
      </c>
      <c r="Q478" s="10" t="n">
        <f aca="false">(J478-D478)*(1-E478)*(1-F478)</f>
        <v>-4518.54110400001</v>
      </c>
      <c r="R478" s="10" t="n">
        <f aca="false">J478*(E478-K478)*(1-F478)</f>
        <v>751.773440879999</v>
      </c>
      <c r="S478" s="10" t="n">
        <f aca="false">M478*(F478-L478)</f>
        <v>-530.059940379205</v>
      </c>
      <c r="T478" s="10" t="n">
        <f aca="false">ROUND(P478-(Q478+R478+S478),2)</f>
        <v>0</v>
      </c>
    </row>
    <row r="479" customFormat="false" ht="15" hidden="false" customHeight="true" outlineLevel="0" collapsed="false">
      <c r="A479" s="7" t="s">
        <v>64</v>
      </c>
      <c r="B479" s="7" t="s">
        <v>74</v>
      </c>
      <c r="C479" s="7" t="s">
        <v>67</v>
      </c>
      <c r="D479" s="8" t="n">
        <v>237670.28</v>
      </c>
      <c r="E479" s="9" t="n">
        <v>0.12</v>
      </c>
      <c r="F479" s="9" t="n">
        <v>0.58</v>
      </c>
      <c r="G479" s="10" t="n">
        <f aca="false">D479*(1-E479)</f>
        <v>209149.8464</v>
      </c>
      <c r="H479" s="10" t="n">
        <f aca="false">G479*F479</f>
        <v>121306.910912</v>
      </c>
      <c r="I479" s="10" t="n">
        <f aca="false">G479-H479</f>
        <v>87842.935488</v>
      </c>
      <c r="J479" s="8" t="n">
        <v>230089.19</v>
      </c>
      <c r="K479" s="9" t="n">
        <v>0.1161</v>
      </c>
      <c r="L479" s="9" t="n">
        <v>0.5695</v>
      </c>
      <c r="M479" s="10" t="n">
        <f aca="false">J479*(1-K479)</f>
        <v>203375.835041</v>
      </c>
      <c r="N479" s="10" t="n">
        <f aca="false">M479*L479</f>
        <v>115822.53805585</v>
      </c>
      <c r="O479" s="10" t="n">
        <f aca="false">M479-N479</f>
        <v>87553.2969851505</v>
      </c>
      <c r="P479" s="10" t="n">
        <f aca="false">O479-I479</f>
        <v>-289.638502849513</v>
      </c>
      <c r="Q479" s="10" t="n">
        <f aca="false">(J479-D479)*(1-E479)*(1-F479)</f>
        <v>-2801.970864</v>
      </c>
      <c r="R479" s="10" t="n">
        <f aca="false">J479*(E479-K479)*(1-F479)</f>
        <v>376.88609322</v>
      </c>
      <c r="S479" s="10" t="n">
        <f aca="false">M479*(F479-L479)</f>
        <v>2135.44626793049</v>
      </c>
      <c r="T479" s="10" t="n">
        <f aca="false">ROUND(P479-(Q479+R479+S479),2)</f>
        <v>-0</v>
      </c>
    </row>
    <row r="480" customFormat="false" ht="15" hidden="false" customHeight="true" outlineLevel="0" collapsed="false">
      <c r="A480" s="7" t="s">
        <v>65</v>
      </c>
      <c r="B480" s="7" t="s">
        <v>74</v>
      </c>
      <c r="C480" s="7" t="s">
        <v>67</v>
      </c>
      <c r="D480" s="8" t="n">
        <v>282806.92</v>
      </c>
      <c r="E480" s="9" t="n">
        <v>0.12</v>
      </c>
      <c r="F480" s="9" t="n">
        <v>0.58</v>
      </c>
      <c r="G480" s="10" t="n">
        <f aca="false">D480*(1-E480)</f>
        <v>248870.0896</v>
      </c>
      <c r="H480" s="10" t="n">
        <f aca="false">G480*F480</f>
        <v>144344.651968</v>
      </c>
      <c r="I480" s="10" t="n">
        <f aca="false">G480-H480</f>
        <v>104525.437632</v>
      </c>
      <c r="J480" s="8" t="n">
        <v>298485.36</v>
      </c>
      <c r="K480" s="9" t="n">
        <v>0.1281</v>
      </c>
      <c r="L480" s="9" t="n">
        <v>0.5664</v>
      </c>
      <c r="M480" s="10" t="n">
        <f aca="false">J480*(1-K480)</f>
        <v>260249.385384</v>
      </c>
      <c r="N480" s="10" t="n">
        <f aca="false">M480*L480</f>
        <v>147405.251881498</v>
      </c>
      <c r="O480" s="10" t="n">
        <f aca="false">M480-N480</f>
        <v>112844.133502502</v>
      </c>
      <c r="P480" s="10" t="n">
        <f aca="false">O480-I480</f>
        <v>8318.69587050242</v>
      </c>
      <c r="Q480" s="10" t="n">
        <f aca="false">(J480-D480)*(1-E480)*(1-F480)</f>
        <v>5794.751424</v>
      </c>
      <c r="R480" s="10" t="n">
        <f aca="false">J480*(E480-K480)*(1-F480)</f>
        <v>-1015.44719472</v>
      </c>
      <c r="S480" s="10" t="n">
        <f aca="false">M480*(F480-L480)</f>
        <v>3539.39164122239</v>
      </c>
      <c r="T480" s="10" t="n">
        <f aca="false">ROUND(P480-(Q480+R480+S480),2)</f>
        <v>0</v>
      </c>
    </row>
    <row r="481" customFormat="false" ht="15" hidden="false" customHeight="true" outlineLevel="0" collapsed="false">
      <c r="A481" s="7" t="s">
        <v>66</v>
      </c>
      <c r="B481" s="7" t="s">
        <v>74</v>
      </c>
      <c r="C481" s="7" t="s">
        <v>67</v>
      </c>
      <c r="D481" s="8" t="n">
        <v>267208.88</v>
      </c>
      <c r="E481" s="9" t="n">
        <v>0.12</v>
      </c>
      <c r="F481" s="9" t="n">
        <v>0.58</v>
      </c>
      <c r="G481" s="10" t="n">
        <f aca="false">D481*(1-E481)</f>
        <v>235143.8144</v>
      </c>
      <c r="H481" s="10" t="n">
        <f aca="false">G481*F481</f>
        <v>136383.412352</v>
      </c>
      <c r="I481" s="10" t="n">
        <f aca="false">G481-H481</f>
        <v>98760.402048</v>
      </c>
      <c r="J481" s="8" t="n">
        <v>274482.51</v>
      </c>
      <c r="K481" s="9" t="n">
        <v>0.1318</v>
      </c>
      <c r="L481" s="9" t="n">
        <v>0.5778</v>
      </c>
      <c r="M481" s="10" t="n">
        <f aca="false">J481*(1-K481)</f>
        <v>238305.715182</v>
      </c>
      <c r="N481" s="10" t="n">
        <f aca="false">M481*L481</f>
        <v>137693.04223216</v>
      </c>
      <c r="O481" s="10" t="n">
        <f aca="false">M481-N481</f>
        <v>100612.67294984</v>
      </c>
      <c r="P481" s="10" t="n">
        <f aca="false">O481-I481</f>
        <v>1852.27090184038</v>
      </c>
      <c r="Q481" s="10" t="n">
        <f aca="false">(J481-D481)*(1-E481)*(1-F481)</f>
        <v>2688.333648</v>
      </c>
      <c r="R481" s="10" t="n">
        <f aca="false">J481*(E481-K481)*(1-F481)</f>
        <v>-1360.33531956</v>
      </c>
      <c r="S481" s="10" t="n">
        <f aca="false">M481*(F481-L481)</f>
        <v>524.272573400395</v>
      </c>
      <c r="T481" s="10" t="n">
        <f aca="false">ROUND(P481-(Q481+R481+S481),2)</f>
        <v>-0</v>
      </c>
    </row>
    <row r="482" customFormat="false" ht="15" hidden="false" customHeight="true" outlineLevel="0" collapsed="false">
      <c r="A482" s="7" t="s">
        <v>41</v>
      </c>
      <c r="B482" s="7" t="s">
        <v>74</v>
      </c>
      <c r="C482" s="7" t="s">
        <v>68</v>
      </c>
      <c r="D482" s="8" t="n">
        <v>147496.96</v>
      </c>
      <c r="E482" s="9" t="n">
        <v>0.08</v>
      </c>
      <c r="F482" s="9" t="n">
        <v>0.55</v>
      </c>
      <c r="G482" s="10" t="n">
        <f aca="false">D482*(1-E482)</f>
        <v>135697.2032</v>
      </c>
      <c r="H482" s="10" t="n">
        <f aca="false">G482*F482</f>
        <v>74633.46176</v>
      </c>
      <c r="I482" s="10" t="n">
        <f aca="false">G482-H482</f>
        <v>61063.74144</v>
      </c>
      <c r="J482" s="8" t="n">
        <v>136759.52</v>
      </c>
      <c r="K482" s="9" t="n">
        <v>0.0916</v>
      </c>
      <c r="L482" s="9" t="n">
        <v>0.5638</v>
      </c>
      <c r="M482" s="10" t="n">
        <f aca="false">J482*(1-K482)</f>
        <v>124232.347968</v>
      </c>
      <c r="N482" s="10" t="n">
        <f aca="false">M482*L482</f>
        <v>70042.1977843584</v>
      </c>
      <c r="O482" s="10" t="n">
        <f aca="false">M482-N482</f>
        <v>54190.1501836416</v>
      </c>
      <c r="P482" s="10" t="n">
        <f aca="false">O482-I482</f>
        <v>-6873.59125635838</v>
      </c>
      <c r="Q482" s="10" t="n">
        <f aca="false">(J482-D482)*(1-E482)*(1-F482)</f>
        <v>-4445.30016</v>
      </c>
      <c r="R482" s="10" t="n">
        <f aca="false">J482*(E482-K482)*(1-F482)</f>
        <v>-713.8846944</v>
      </c>
      <c r="S482" s="10" t="n">
        <f aca="false">M482*(F482-L482)</f>
        <v>-1714.40640195839</v>
      </c>
      <c r="T482" s="10" t="n">
        <f aca="false">ROUND(P482-(Q482+R482+S482),2)</f>
        <v>0</v>
      </c>
    </row>
    <row r="483" customFormat="false" ht="15" hidden="false" customHeight="true" outlineLevel="0" collapsed="false">
      <c r="A483" s="7" t="s">
        <v>44</v>
      </c>
      <c r="B483" s="7" t="s">
        <v>74</v>
      </c>
      <c r="C483" s="7" t="s">
        <v>68</v>
      </c>
      <c r="D483" s="8" t="n">
        <v>145373</v>
      </c>
      <c r="E483" s="9" t="n">
        <v>0.08</v>
      </c>
      <c r="F483" s="9" t="n">
        <v>0.55</v>
      </c>
      <c r="G483" s="10" t="n">
        <f aca="false">D483*(1-E483)</f>
        <v>133743.16</v>
      </c>
      <c r="H483" s="10" t="n">
        <f aca="false">G483*F483</f>
        <v>73558.738</v>
      </c>
      <c r="I483" s="10" t="n">
        <f aca="false">G483-H483</f>
        <v>60184.422</v>
      </c>
      <c r="J483" s="8" t="n">
        <v>139992.65</v>
      </c>
      <c r="K483" s="9" t="n">
        <v>0.0701</v>
      </c>
      <c r="L483" s="9" t="n">
        <v>0.563</v>
      </c>
      <c r="M483" s="10" t="n">
        <f aca="false">J483*(1-K483)</f>
        <v>130179.165235</v>
      </c>
      <c r="N483" s="10" t="n">
        <f aca="false">M483*L483</f>
        <v>73290.870027305</v>
      </c>
      <c r="O483" s="10" t="n">
        <f aca="false">M483-N483</f>
        <v>56888.295207695</v>
      </c>
      <c r="P483" s="10" t="n">
        <f aca="false">O483-I483</f>
        <v>-3296.12679230499</v>
      </c>
      <c r="Q483" s="10" t="n">
        <f aca="false">(J483-D483)*(1-E483)*(1-F483)</f>
        <v>-2227.4649</v>
      </c>
      <c r="R483" s="10" t="n">
        <f aca="false">J483*(E483-K483)*(1-F483)</f>
        <v>623.66725575</v>
      </c>
      <c r="S483" s="10" t="n">
        <f aca="false">M483*(F483-L483)</f>
        <v>-1692.32914805499</v>
      </c>
      <c r="T483" s="10" t="n">
        <f aca="false">ROUND(P483-(Q483+R483+S483),2)</f>
        <v>0</v>
      </c>
    </row>
    <row r="484" customFormat="false" ht="15" hidden="false" customHeight="true" outlineLevel="0" collapsed="false">
      <c r="A484" s="7" t="s">
        <v>45</v>
      </c>
      <c r="B484" s="7" t="s">
        <v>74</v>
      </c>
      <c r="C484" s="7" t="s">
        <v>68</v>
      </c>
      <c r="D484" s="8" t="n">
        <v>158182.29</v>
      </c>
      <c r="E484" s="9" t="n">
        <v>0.08</v>
      </c>
      <c r="F484" s="9" t="n">
        <v>0.55</v>
      </c>
      <c r="G484" s="10" t="n">
        <f aca="false">D484*(1-E484)</f>
        <v>145527.7068</v>
      </c>
      <c r="H484" s="10" t="n">
        <f aca="false">G484*F484</f>
        <v>80040.23874</v>
      </c>
      <c r="I484" s="10" t="n">
        <f aca="false">G484-H484</f>
        <v>65487.46806</v>
      </c>
      <c r="J484" s="8" t="n">
        <v>155979.66</v>
      </c>
      <c r="K484" s="9" t="n">
        <v>0.0941</v>
      </c>
      <c r="L484" s="9" t="n">
        <v>0.5573</v>
      </c>
      <c r="M484" s="10" t="n">
        <f aca="false">J484*(1-K484)</f>
        <v>141301.973994</v>
      </c>
      <c r="N484" s="10" t="n">
        <f aca="false">M484*L484</f>
        <v>78747.5901068562</v>
      </c>
      <c r="O484" s="10" t="n">
        <f aca="false">M484-N484</f>
        <v>62554.3838871438</v>
      </c>
      <c r="P484" s="10" t="n">
        <f aca="false">O484-I484</f>
        <v>-2933.08417285621</v>
      </c>
      <c r="Q484" s="10" t="n">
        <f aca="false">(J484-D484)*(1-E484)*(1-F484)</f>
        <v>-911.888820000002</v>
      </c>
      <c r="R484" s="10" t="n">
        <f aca="false">J484*(E484-K484)*(1-F484)</f>
        <v>-989.6909427</v>
      </c>
      <c r="S484" s="10" t="n">
        <f aca="false">M484*(F484-L484)</f>
        <v>-1031.5044101562</v>
      </c>
      <c r="T484" s="10" t="n">
        <f aca="false">ROUND(P484-(Q484+R484+S484),2)</f>
        <v>0</v>
      </c>
    </row>
    <row r="485" customFormat="false" ht="15" hidden="false" customHeight="true" outlineLevel="0" collapsed="false">
      <c r="A485" s="7" t="s">
        <v>46</v>
      </c>
      <c r="B485" s="7" t="s">
        <v>74</v>
      </c>
      <c r="C485" s="7" t="s">
        <v>68</v>
      </c>
      <c r="D485" s="8" t="n">
        <v>164462.38</v>
      </c>
      <c r="E485" s="9" t="n">
        <v>0.08</v>
      </c>
      <c r="F485" s="9" t="n">
        <v>0.55</v>
      </c>
      <c r="G485" s="10" t="n">
        <f aca="false">D485*(1-E485)</f>
        <v>151305.3896</v>
      </c>
      <c r="H485" s="10" t="n">
        <f aca="false">G485*F485</f>
        <v>83217.96428</v>
      </c>
      <c r="I485" s="10" t="n">
        <f aca="false">G485-H485</f>
        <v>68087.42532</v>
      </c>
      <c r="J485" s="8" t="n">
        <v>162229.12</v>
      </c>
      <c r="K485" s="9" t="n">
        <v>0.0766</v>
      </c>
      <c r="L485" s="9" t="n">
        <v>0.5621</v>
      </c>
      <c r="M485" s="10" t="n">
        <f aca="false">J485*(1-K485)</f>
        <v>149802.369408</v>
      </c>
      <c r="N485" s="10" t="n">
        <f aca="false">M485*L485</f>
        <v>84203.9118442368</v>
      </c>
      <c r="O485" s="10" t="n">
        <f aca="false">M485-N485</f>
        <v>65598.4575637632</v>
      </c>
      <c r="P485" s="10" t="n">
        <f aca="false">O485-I485</f>
        <v>-2488.96775623682</v>
      </c>
      <c r="Q485" s="10" t="n">
        <f aca="false">(J485-D485)*(1-E485)*(1-F485)</f>
        <v>-924.569640000004</v>
      </c>
      <c r="R485" s="10" t="n">
        <f aca="false">J485*(E485-K485)*(1-F485)</f>
        <v>248.2105536</v>
      </c>
      <c r="S485" s="10" t="n">
        <f aca="false">M485*(F485-L485)</f>
        <v>-1812.6086698368</v>
      </c>
      <c r="T485" s="10" t="n">
        <f aca="false">ROUND(P485-(Q485+R485+S485),2)</f>
        <v>-0</v>
      </c>
    </row>
    <row r="486" customFormat="false" ht="15" hidden="false" customHeight="true" outlineLevel="0" collapsed="false">
      <c r="A486" s="7" t="s">
        <v>47</v>
      </c>
      <c r="B486" s="7" t="s">
        <v>74</v>
      </c>
      <c r="C486" s="7" t="s">
        <v>68</v>
      </c>
      <c r="D486" s="8" t="n">
        <v>169129.84</v>
      </c>
      <c r="E486" s="9" t="n">
        <v>0.08</v>
      </c>
      <c r="F486" s="9" t="n">
        <v>0.55</v>
      </c>
      <c r="G486" s="10" t="n">
        <f aca="false">D486*(1-E486)</f>
        <v>155599.4528</v>
      </c>
      <c r="H486" s="10" t="n">
        <f aca="false">G486*F486</f>
        <v>85579.69904</v>
      </c>
      <c r="I486" s="10" t="n">
        <f aca="false">G486-H486</f>
        <v>70019.75376</v>
      </c>
      <c r="J486" s="8" t="n">
        <v>174939.05</v>
      </c>
      <c r="K486" s="9" t="n">
        <v>0.0716</v>
      </c>
      <c r="L486" s="9" t="n">
        <v>0.5419</v>
      </c>
      <c r="M486" s="10" t="n">
        <f aca="false">J486*(1-K486)</f>
        <v>162413.41402</v>
      </c>
      <c r="N486" s="10" t="n">
        <f aca="false">M486*L486</f>
        <v>88011.829057438</v>
      </c>
      <c r="O486" s="10" t="n">
        <f aca="false">M486-N486</f>
        <v>74401.584962562</v>
      </c>
      <c r="P486" s="10" t="n">
        <f aca="false">O486-I486</f>
        <v>4381.831202562</v>
      </c>
      <c r="Q486" s="10" t="n">
        <f aca="false">(J486-D486)*(1-E486)*(1-F486)</f>
        <v>2405.01294</v>
      </c>
      <c r="R486" s="10" t="n">
        <f aca="false">J486*(E486-K486)*(1-F486)</f>
        <v>661.269609</v>
      </c>
      <c r="S486" s="10" t="n">
        <f aca="false">M486*(F486-L486)</f>
        <v>1315.548653562</v>
      </c>
      <c r="T486" s="10" t="n">
        <f aca="false">ROUND(P486-(Q486+R486+S486),2)</f>
        <v>0</v>
      </c>
    </row>
    <row r="487" customFormat="false" ht="15" hidden="false" customHeight="true" outlineLevel="0" collapsed="false">
      <c r="A487" s="7" t="s">
        <v>48</v>
      </c>
      <c r="B487" s="7" t="s">
        <v>74</v>
      </c>
      <c r="C487" s="7" t="s">
        <v>68</v>
      </c>
      <c r="D487" s="8" t="n">
        <v>173849.75</v>
      </c>
      <c r="E487" s="9" t="n">
        <v>0.08</v>
      </c>
      <c r="F487" s="9" t="n">
        <v>0.55</v>
      </c>
      <c r="G487" s="10" t="n">
        <f aca="false">D487*(1-E487)</f>
        <v>159941.77</v>
      </c>
      <c r="H487" s="10" t="n">
        <f aca="false">G487*F487</f>
        <v>87967.9735</v>
      </c>
      <c r="I487" s="10" t="n">
        <f aca="false">G487-H487</f>
        <v>71973.7965</v>
      </c>
      <c r="J487" s="8" t="n">
        <v>169501.09</v>
      </c>
      <c r="K487" s="9" t="n">
        <v>0.0986</v>
      </c>
      <c r="L487" s="9" t="n">
        <v>0.5508</v>
      </c>
      <c r="M487" s="10" t="n">
        <f aca="false">J487*(1-K487)</f>
        <v>152788.282526</v>
      </c>
      <c r="N487" s="10" t="n">
        <f aca="false">M487*L487</f>
        <v>84155.7860153208</v>
      </c>
      <c r="O487" s="10" t="n">
        <f aca="false">M487-N487</f>
        <v>68632.4965106792</v>
      </c>
      <c r="P487" s="10" t="n">
        <f aca="false">O487-I487</f>
        <v>-3341.29998932079</v>
      </c>
      <c r="Q487" s="10" t="n">
        <f aca="false">(J487-D487)*(1-E487)*(1-F487)</f>
        <v>-1800.34524</v>
      </c>
      <c r="R487" s="10" t="n">
        <f aca="false">J487*(E487-K487)*(1-F487)</f>
        <v>-1418.7241233</v>
      </c>
      <c r="S487" s="10" t="n">
        <f aca="false">M487*(F487-L487)</f>
        <v>-122.230626020787</v>
      </c>
      <c r="T487" s="10" t="n">
        <f aca="false">ROUND(P487-(Q487+R487+S487),2)</f>
        <v>0</v>
      </c>
    </row>
    <row r="488" customFormat="false" ht="15" hidden="false" customHeight="true" outlineLevel="0" collapsed="false">
      <c r="A488" s="7" t="s">
        <v>49</v>
      </c>
      <c r="B488" s="7" t="s">
        <v>74</v>
      </c>
      <c r="C488" s="7" t="s">
        <v>68</v>
      </c>
      <c r="D488" s="8" t="n">
        <v>171752.01</v>
      </c>
      <c r="E488" s="9" t="n">
        <v>0.08</v>
      </c>
      <c r="F488" s="9" t="n">
        <v>0.55</v>
      </c>
      <c r="G488" s="10" t="n">
        <f aca="false">D488*(1-E488)</f>
        <v>158011.8492</v>
      </c>
      <c r="H488" s="10" t="n">
        <f aca="false">G488*F488</f>
        <v>86906.51706</v>
      </c>
      <c r="I488" s="10" t="n">
        <f aca="false">G488-H488</f>
        <v>71105.33214</v>
      </c>
      <c r="J488" s="8" t="n">
        <v>161852.66</v>
      </c>
      <c r="K488" s="9" t="n">
        <v>0.085</v>
      </c>
      <c r="L488" s="9" t="n">
        <v>0.5596</v>
      </c>
      <c r="M488" s="10" t="n">
        <f aca="false">J488*(1-K488)</f>
        <v>148095.1839</v>
      </c>
      <c r="N488" s="10" t="n">
        <f aca="false">M488*L488</f>
        <v>82874.06491044</v>
      </c>
      <c r="O488" s="10" t="n">
        <f aca="false">M488-N488</f>
        <v>65221.11898956</v>
      </c>
      <c r="P488" s="10" t="n">
        <f aca="false">O488-I488</f>
        <v>-5884.21315044</v>
      </c>
      <c r="Q488" s="10" t="n">
        <f aca="false">(J488-D488)*(1-E488)*(1-F488)</f>
        <v>-4098.3309</v>
      </c>
      <c r="R488" s="10" t="n">
        <f aca="false">J488*(E488-K488)*(1-F488)</f>
        <v>-364.168485</v>
      </c>
      <c r="S488" s="10" t="n">
        <f aca="false">M488*(F488-L488)</f>
        <v>-1421.71376543999</v>
      </c>
      <c r="T488" s="10" t="n">
        <f aca="false">ROUND(P488-(Q488+R488+S488),2)</f>
        <v>0</v>
      </c>
    </row>
    <row r="489" customFormat="false" ht="15" hidden="false" customHeight="true" outlineLevel="0" collapsed="false">
      <c r="A489" s="7" t="s">
        <v>50</v>
      </c>
      <c r="B489" s="7" t="s">
        <v>74</v>
      </c>
      <c r="C489" s="7" t="s">
        <v>68</v>
      </c>
      <c r="D489" s="8" t="n">
        <v>178254.99</v>
      </c>
      <c r="E489" s="9" t="n">
        <v>0.08</v>
      </c>
      <c r="F489" s="9" t="n">
        <v>0.55</v>
      </c>
      <c r="G489" s="10" t="n">
        <f aca="false">D489*(1-E489)</f>
        <v>163994.5908</v>
      </c>
      <c r="H489" s="10" t="n">
        <f aca="false">G489*F489</f>
        <v>90197.02494</v>
      </c>
      <c r="I489" s="10" t="n">
        <f aca="false">G489-H489</f>
        <v>73797.56586</v>
      </c>
      <c r="J489" s="8" t="n">
        <v>175734.59</v>
      </c>
      <c r="K489" s="9" t="n">
        <v>0.0768</v>
      </c>
      <c r="L489" s="9" t="n">
        <v>0.5486</v>
      </c>
      <c r="M489" s="10" t="n">
        <f aca="false">J489*(1-K489)</f>
        <v>162238.173488</v>
      </c>
      <c r="N489" s="10" t="n">
        <f aca="false">M489*L489</f>
        <v>89003.8619755168</v>
      </c>
      <c r="O489" s="10" t="n">
        <f aca="false">M489-N489</f>
        <v>73234.3115124832</v>
      </c>
      <c r="P489" s="10" t="n">
        <f aca="false">O489-I489</f>
        <v>-563.254347516777</v>
      </c>
      <c r="Q489" s="10" t="n">
        <f aca="false">(J489-D489)*(1-E489)*(1-F489)</f>
        <v>-1043.4456</v>
      </c>
      <c r="R489" s="10" t="n">
        <f aca="false">J489*(E489-K489)*(1-F489)</f>
        <v>253.057809600001</v>
      </c>
      <c r="S489" s="10" t="n">
        <f aca="false">M489*(F489-L489)</f>
        <v>227.133442883211</v>
      </c>
      <c r="T489" s="10" t="n">
        <f aca="false">ROUND(P489-(Q489+R489+S489),2)</f>
        <v>0</v>
      </c>
    </row>
    <row r="490" customFormat="false" ht="15" hidden="false" customHeight="true" outlineLevel="0" collapsed="false">
      <c r="A490" s="7" t="s">
        <v>51</v>
      </c>
      <c r="B490" s="7" t="s">
        <v>74</v>
      </c>
      <c r="C490" s="7" t="s">
        <v>68</v>
      </c>
      <c r="D490" s="8" t="n">
        <v>183092.89</v>
      </c>
      <c r="E490" s="9" t="n">
        <v>0.08</v>
      </c>
      <c r="F490" s="9" t="n">
        <v>0.55</v>
      </c>
      <c r="G490" s="10" t="n">
        <f aca="false">D490*(1-E490)</f>
        <v>168445.4588</v>
      </c>
      <c r="H490" s="10" t="n">
        <f aca="false">G490*F490</f>
        <v>92645.00234</v>
      </c>
      <c r="I490" s="10" t="n">
        <f aca="false">G490-H490</f>
        <v>75800.45646</v>
      </c>
      <c r="J490" s="8" t="n">
        <v>197375.73</v>
      </c>
      <c r="K490" s="9" t="n">
        <v>0.0831</v>
      </c>
      <c r="L490" s="9" t="n">
        <v>0.5475</v>
      </c>
      <c r="M490" s="10" t="n">
        <f aca="false">J490*(1-K490)</f>
        <v>180973.806837</v>
      </c>
      <c r="N490" s="10" t="n">
        <f aca="false">M490*L490</f>
        <v>99083.1592432575</v>
      </c>
      <c r="O490" s="10" t="n">
        <f aca="false">M490-N490</f>
        <v>81890.6475937425</v>
      </c>
      <c r="P490" s="10" t="n">
        <f aca="false">O490-I490</f>
        <v>6090.19113374251</v>
      </c>
      <c r="Q490" s="10" t="n">
        <f aca="false">(J490-D490)*(1-E490)*(1-F490)</f>
        <v>5913.09576</v>
      </c>
      <c r="R490" s="10" t="n">
        <f aca="false">J490*(E490-K490)*(1-F490)</f>
        <v>-275.339143349999</v>
      </c>
      <c r="S490" s="10" t="n">
        <f aca="false">M490*(F490-L490)</f>
        <v>452.434517092511</v>
      </c>
      <c r="T490" s="10" t="n">
        <f aca="false">ROUND(P490-(Q490+R490+S490),2)</f>
        <v>0</v>
      </c>
    </row>
    <row r="491" customFormat="false" ht="15" hidden="false" customHeight="true" outlineLevel="0" collapsed="false">
      <c r="A491" s="7" t="s">
        <v>52</v>
      </c>
      <c r="B491" s="7" t="s">
        <v>74</v>
      </c>
      <c r="C491" s="7" t="s">
        <v>68</v>
      </c>
      <c r="D491" s="8" t="n">
        <v>193253.79</v>
      </c>
      <c r="E491" s="9" t="n">
        <v>0.08</v>
      </c>
      <c r="F491" s="9" t="n">
        <v>0.55</v>
      </c>
      <c r="G491" s="10" t="n">
        <f aca="false">D491*(1-E491)</f>
        <v>177793.4868</v>
      </c>
      <c r="H491" s="10" t="n">
        <f aca="false">G491*F491</f>
        <v>97786.41774</v>
      </c>
      <c r="I491" s="10" t="n">
        <f aca="false">G491-H491</f>
        <v>80007.06906</v>
      </c>
      <c r="J491" s="8" t="n">
        <v>184990.87</v>
      </c>
      <c r="K491" s="9" t="n">
        <v>0.0914</v>
      </c>
      <c r="L491" s="9" t="n">
        <v>0.5457</v>
      </c>
      <c r="M491" s="10" t="n">
        <f aca="false">J491*(1-K491)</f>
        <v>168082.704482</v>
      </c>
      <c r="N491" s="10" t="n">
        <f aca="false">M491*L491</f>
        <v>91722.7318358274</v>
      </c>
      <c r="O491" s="10" t="n">
        <f aca="false">M491-N491</f>
        <v>76359.9726461726</v>
      </c>
      <c r="P491" s="10" t="n">
        <f aca="false">O491-I491</f>
        <v>-3647.09641382739</v>
      </c>
      <c r="Q491" s="10" t="n">
        <f aca="false">(J491-D491)*(1-E491)*(1-F491)</f>
        <v>-3420.84888000001</v>
      </c>
      <c r="R491" s="10" t="n">
        <f aca="false">J491*(E491-K491)*(1-F491)</f>
        <v>-949.003163099999</v>
      </c>
      <c r="S491" s="10" t="n">
        <f aca="false">M491*(F491-L491)</f>
        <v>722.755629272614</v>
      </c>
      <c r="T491" s="10" t="n">
        <f aca="false">ROUND(P491-(Q491+R491+S491),2)</f>
        <v>0</v>
      </c>
    </row>
    <row r="492" customFormat="false" ht="15" hidden="false" customHeight="true" outlineLevel="0" collapsed="false">
      <c r="A492" s="7" t="s">
        <v>53</v>
      </c>
      <c r="B492" s="7" t="s">
        <v>74</v>
      </c>
      <c r="C492" s="7" t="s">
        <v>68</v>
      </c>
      <c r="D492" s="8" t="n">
        <v>230095.25</v>
      </c>
      <c r="E492" s="9" t="n">
        <v>0.08</v>
      </c>
      <c r="F492" s="9" t="n">
        <v>0.55</v>
      </c>
      <c r="G492" s="10" t="n">
        <f aca="false">D492*(1-E492)</f>
        <v>211687.63</v>
      </c>
      <c r="H492" s="10" t="n">
        <f aca="false">G492*F492</f>
        <v>116428.1965</v>
      </c>
      <c r="I492" s="10" t="n">
        <f aca="false">G492-H492</f>
        <v>95259.4335</v>
      </c>
      <c r="J492" s="8" t="n">
        <v>229365.68</v>
      </c>
      <c r="K492" s="9" t="n">
        <v>0.0856</v>
      </c>
      <c r="L492" s="9" t="n">
        <v>0.5426</v>
      </c>
      <c r="M492" s="10" t="n">
        <f aca="false">J492*(1-K492)</f>
        <v>209731.977792</v>
      </c>
      <c r="N492" s="10" t="n">
        <f aca="false">M492*L492</f>
        <v>113800.571149939</v>
      </c>
      <c r="O492" s="10" t="n">
        <f aca="false">M492-N492</f>
        <v>95931.4066420608</v>
      </c>
      <c r="P492" s="10" t="n">
        <f aca="false">O492-I492</f>
        <v>671.973142060801</v>
      </c>
      <c r="Q492" s="10" t="n">
        <f aca="false">(J492-D492)*(1-E492)*(1-F492)</f>
        <v>-302.041980000003</v>
      </c>
      <c r="R492" s="10" t="n">
        <f aca="false">J492*(E492-K492)*(1-F492)</f>
        <v>-578.001513599999</v>
      </c>
      <c r="S492" s="10" t="n">
        <f aca="false">M492*(F492-L492)</f>
        <v>1552.01663566082</v>
      </c>
      <c r="T492" s="10" t="n">
        <f aca="false">ROUND(P492-(Q492+R492+S492),2)</f>
        <v>-0</v>
      </c>
    </row>
    <row r="493" customFormat="false" ht="15" hidden="false" customHeight="true" outlineLevel="0" collapsed="false">
      <c r="A493" s="7" t="s">
        <v>54</v>
      </c>
      <c r="B493" s="7" t="s">
        <v>74</v>
      </c>
      <c r="C493" s="7" t="s">
        <v>68</v>
      </c>
      <c r="D493" s="8" t="n">
        <v>217535.07</v>
      </c>
      <c r="E493" s="9" t="n">
        <v>0.08</v>
      </c>
      <c r="F493" s="9" t="n">
        <v>0.55</v>
      </c>
      <c r="G493" s="10" t="n">
        <f aca="false">D493*(1-E493)</f>
        <v>200132.2644</v>
      </c>
      <c r="H493" s="10" t="n">
        <f aca="false">G493*F493</f>
        <v>110072.74542</v>
      </c>
      <c r="I493" s="10" t="n">
        <f aca="false">G493-H493</f>
        <v>90059.51898</v>
      </c>
      <c r="J493" s="8" t="n">
        <v>222774.2</v>
      </c>
      <c r="K493" s="9" t="n">
        <v>0.0783</v>
      </c>
      <c r="L493" s="9" t="n">
        <v>0.5558</v>
      </c>
      <c r="M493" s="10" t="n">
        <f aca="false">J493*(1-K493)</f>
        <v>205330.98014</v>
      </c>
      <c r="N493" s="10" t="n">
        <f aca="false">M493*L493</f>
        <v>114122.958761812</v>
      </c>
      <c r="O493" s="10" t="n">
        <f aca="false">M493-N493</f>
        <v>91208.021378188</v>
      </c>
      <c r="P493" s="10" t="n">
        <f aca="false">O493-I493</f>
        <v>1148.50239818801</v>
      </c>
      <c r="Q493" s="10" t="n">
        <f aca="false">(J493-D493)*(1-E493)*(1-F493)</f>
        <v>2168.99982</v>
      </c>
      <c r="R493" s="10" t="n">
        <f aca="false">J493*(E493-K493)*(1-F493)</f>
        <v>170.422263000001</v>
      </c>
      <c r="S493" s="10" t="n">
        <f aca="false">M493*(F493-L493)</f>
        <v>-1190.91968481198</v>
      </c>
      <c r="T493" s="10" t="n">
        <f aca="false">ROUND(P493-(Q493+R493+S493),2)</f>
        <v>-0</v>
      </c>
    </row>
    <row r="494" customFormat="false" ht="15" hidden="false" customHeight="true" outlineLevel="0" collapsed="false">
      <c r="A494" s="7" t="s">
        <v>55</v>
      </c>
      <c r="B494" s="7" t="s">
        <v>74</v>
      </c>
      <c r="C494" s="7" t="s">
        <v>68</v>
      </c>
      <c r="D494" s="8" t="n">
        <v>161656.66</v>
      </c>
      <c r="E494" s="9" t="n">
        <v>0.08</v>
      </c>
      <c r="F494" s="9" t="n">
        <v>0.55</v>
      </c>
      <c r="G494" s="10" t="n">
        <f aca="false">D494*(1-E494)</f>
        <v>148724.1272</v>
      </c>
      <c r="H494" s="10" t="n">
        <f aca="false">G494*F494</f>
        <v>81798.26996</v>
      </c>
      <c r="I494" s="10" t="n">
        <f aca="false">G494-H494</f>
        <v>66925.85724</v>
      </c>
      <c r="J494" s="8" t="n">
        <v>160231.05</v>
      </c>
      <c r="K494" s="9" t="n">
        <v>0.0919</v>
      </c>
      <c r="L494" s="9" t="n">
        <v>0.5417</v>
      </c>
      <c r="M494" s="10" t="n">
        <f aca="false">J494*(1-K494)</f>
        <v>145505.816505</v>
      </c>
      <c r="N494" s="10" t="n">
        <f aca="false">M494*L494</f>
        <v>78820.5008007585</v>
      </c>
      <c r="O494" s="10" t="n">
        <f aca="false">M494-N494</f>
        <v>66685.3157042415</v>
      </c>
      <c r="P494" s="10" t="n">
        <f aca="false">O494-I494</f>
        <v>-240.541535758501</v>
      </c>
      <c r="Q494" s="10" t="n">
        <f aca="false">(J494-D494)*(1-E494)*(1-F494)</f>
        <v>-590.202540000006</v>
      </c>
      <c r="R494" s="10" t="n">
        <f aca="false">J494*(E494-K494)*(1-F494)</f>
        <v>-858.037272749999</v>
      </c>
      <c r="S494" s="10" t="n">
        <f aca="false">M494*(F494-L494)</f>
        <v>1207.69827699151</v>
      </c>
      <c r="T494" s="10" t="n">
        <f aca="false">ROUND(P494-(Q494+R494+S494),2)</f>
        <v>-0</v>
      </c>
    </row>
    <row r="495" customFormat="false" ht="15" hidden="false" customHeight="true" outlineLevel="0" collapsed="false">
      <c r="A495" s="7" t="s">
        <v>56</v>
      </c>
      <c r="B495" s="7" t="s">
        <v>74</v>
      </c>
      <c r="C495" s="7" t="s">
        <v>68</v>
      </c>
      <c r="D495" s="8" t="n">
        <v>159218.05</v>
      </c>
      <c r="E495" s="9" t="n">
        <v>0.08</v>
      </c>
      <c r="F495" s="9" t="n">
        <v>0.55</v>
      </c>
      <c r="G495" s="10" t="n">
        <f aca="false">D495*(1-E495)</f>
        <v>146480.606</v>
      </c>
      <c r="H495" s="10" t="n">
        <f aca="false">G495*F495</f>
        <v>80564.3333</v>
      </c>
      <c r="I495" s="10" t="n">
        <f aca="false">G495-H495</f>
        <v>65916.2727</v>
      </c>
      <c r="J495" s="8" t="n">
        <v>173757.27</v>
      </c>
      <c r="K495" s="9" t="n">
        <v>0.0986</v>
      </c>
      <c r="L495" s="9" t="n">
        <v>0.5443</v>
      </c>
      <c r="M495" s="10" t="n">
        <f aca="false">J495*(1-K495)</f>
        <v>156624.803178</v>
      </c>
      <c r="N495" s="10" t="n">
        <f aca="false">M495*L495</f>
        <v>85250.8803697854</v>
      </c>
      <c r="O495" s="10" t="n">
        <f aca="false">M495-N495</f>
        <v>71373.9228082146</v>
      </c>
      <c r="P495" s="10" t="n">
        <f aca="false">O495-I495</f>
        <v>5457.6501082146</v>
      </c>
      <c r="Q495" s="10" t="n">
        <f aca="false">(J495-D495)*(1-E495)*(1-F495)</f>
        <v>6019.23708</v>
      </c>
      <c r="R495" s="10" t="n">
        <f aca="false">J495*(E495-K495)*(1-F495)</f>
        <v>-1454.3483499</v>
      </c>
      <c r="S495" s="10" t="n">
        <f aca="false">M495*(F495-L495)</f>
        <v>892.761378114606</v>
      </c>
      <c r="T495" s="10" t="n">
        <f aca="false">ROUND(P495-(Q495+R495+S495),2)</f>
        <v>0</v>
      </c>
    </row>
    <row r="496" customFormat="false" ht="15" hidden="false" customHeight="true" outlineLevel="0" collapsed="false">
      <c r="A496" s="7" t="s">
        <v>57</v>
      </c>
      <c r="B496" s="7" t="s">
        <v>74</v>
      </c>
      <c r="C496" s="7" t="s">
        <v>68</v>
      </c>
      <c r="D496" s="8" t="n">
        <v>173128.65</v>
      </c>
      <c r="E496" s="9" t="n">
        <v>0.08</v>
      </c>
      <c r="F496" s="9" t="n">
        <v>0.55</v>
      </c>
      <c r="G496" s="10" t="n">
        <f aca="false">D496*(1-E496)</f>
        <v>159278.358</v>
      </c>
      <c r="H496" s="10" t="n">
        <f aca="false">G496*F496</f>
        <v>87603.0969</v>
      </c>
      <c r="I496" s="10" t="n">
        <f aca="false">G496-H496</f>
        <v>71675.2611</v>
      </c>
      <c r="J496" s="8" t="n">
        <v>160835.54</v>
      </c>
      <c r="K496" s="9" t="n">
        <v>0.0683</v>
      </c>
      <c r="L496" s="9" t="n">
        <v>0.5429</v>
      </c>
      <c r="M496" s="10" t="n">
        <f aca="false">J496*(1-K496)</f>
        <v>149850.472618</v>
      </c>
      <c r="N496" s="10" t="n">
        <f aca="false">M496*L496</f>
        <v>81353.8215843122</v>
      </c>
      <c r="O496" s="10" t="n">
        <f aca="false">M496-N496</f>
        <v>68496.6510336878</v>
      </c>
      <c r="P496" s="10" t="n">
        <f aca="false">O496-I496</f>
        <v>-3178.61006631221</v>
      </c>
      <c r="Q496" s="10" t="n">
        <f aca="false">(J496-D496)*(1-E496)*(1-F496)</f>
        <v>-5089.34753999999</v>
      </c>
      <c r="R496" s="10" t="n">
        <f aca="false">J496*(E496-K496)*(1-F496)</f>
        <v>846.7991181</v>
      </c>
      <c r="S496" s="10" t="n">
        <f aca="false">M496*(F496-L496)</f>
        <v>1063.9383555878</v>
      </c>
      <c r="T496" s="10" t="n">
        <f aca="false">ROUND(P496-(Q496+R496+S496),2)</f>
        <v>0</v>
      </c>
    </row>
    <row r="497" customFormat="false" ht="15" hidden="false" customHeight="true" outlineLevel="0" collapsed="false">
      <c r="A497" s="7" t="s">
        <v>58</v>
      </c>
      <c r="B497" s="7" t="s">
        <v>74</v>
      </c>
      <c r="C497" s="7" t="s">
        <v>68</v>
      </c>
      <c r="D497" s="8" t="n">
        <v>179880.73</v>
      </c>
      <c r="E497" s="9" t="n">
        <v>0.08</v>
      </c>
      <c r="F497" s="9" t="n">
        <v>0.55</v>
      </c>
      <c r="G497" s="10" t="n">
        <f aca="false">D497*(1-E497)</f>
        <v>165490.2716</v>
      </c>
      <c r="H497" s="10" t="n">
        <f aca="false">G497*F497</f>
        <v>91019.64938</v>
      </c>
      <c r="I497" s="10" t="n">
        <f aca="false">G497-H497</f>
        <v>74470.62222</v>
      </c>
      <c r="J497" s="8" t="n">
        <v>177041.33</v>
      </c>
      <c r="K497" s="9" t="n">
        <v>0.0855</v>
      </c>
      <c r="L497" s="9" t="n">
        <v>0.5476</v>
      </c>
      <c r="M497" s="10" t="n">
        <f aca="false">J497*(1-K497)</f>
        <v>161904.296285</v>
      </c>
      <c r="N497" s="10" t="n">
        <f aca="false">M497*L497</f>
        <v>88658.792645666</v>
      </c>
      <c r="O497" s="10" t="n">
        <f aca="false">M497-N497</f>
        <v>73245.503639334</v>
      </c>
      <c r="P497" s="10" t="n">
        <f aca="false">O497-I497</f>
        <v>-1225.11858066599</v>
      </c>
      <c r="Q497" s="10" t="n">
        <f aca="false">(J497-D497)*(1-E497)*(1-F497)</f>
        <v>-1175.51160000001</v>
      </c>
      <c r="R497" s="10" t="n">
        <f aca="false">J497*(E497-K497)*(1-F497)</f>
        <v>-438.17729175</v>
      </c>
      <c r="S497" s="10" t="n">
        <f aca="false">M497*(F497-L497)</f>
        <v>388.570311084011</v>
      </c>
      <c r="T497" s="10" t="n">
        <f aca="false">ROUND(P497-(Q497+R497+S497),2)</f>
        <v>0</v>
      </c>
    </row>
    <row r="498" customFormat="false" ht="15" hidden="false" customHeight="true" outlineLevel="0" collapsed="false">
      <c r="A498" s="7" t="s">
        <v>59</v>
      </c>
      <c r="B498" s="7" t="s">
        <v>74</v>
      </c>
      <c r="C498" s="7" t="s">
        <v>68</v>
      </c>
      <c r="D498" s="8" t="n">
        <v>184862.85</v>
      </c>
      <c r="E498" s="9" t="n">
        <v>0.08</v>
      </c>
      <c r="F498" s="9" t="n">
        <v>0.55</v>
      </c>
      <c r="G498" s="10" t="n">
        <f aca="false">D498*(1-E498)</f>
        <v>170073.822</v>
      </c>
      <c r="H498" s="10" t="n">
        <f aca="false">G498*F498</f>
        <v>93540.6021</v>
      </c>
      <c r="I498" s="10" t="n">
        <f aca="false">G498-H498</f>
        <v>76533.2199</v>
      </c>
      <c r="J498" s="8" t="n">
        <v>191251.89</v>
      </c>
      <c r="K498" s="9" t="n">
        <v>0.0787</v>
      </c>
      <c r="L498" s="9" t="n">
        <v>0.5537</v>
      </c>
      <c r="M498" s="10" t="n">
        <f aca="false">J498*(1-K498)</f>
        <v>176200.366257</v>
      </c>
      <c r="N498" s="10" t="n">
        <f aca="false">M498*L498</f>
        <v>97562.1427965009</v>
      </c>
      <c r="O498" s="10" t="n">
        <f aca="false">M498-N498</f>
        <v>78638.2234604991</v>
      </c>
      <c r="P498" s="10" t="n">
        <f aca="false">O498-I498</f>
        <v>2105.00356049911</v>
      </c>
      <c r="Q498" s="10" t="n">
        <f aca="false">(J498-D498)*(1-E498)*(1-F498)</f>
        <v>2645.06256</v>
      </c>
      <c r="R498" s="10" t="n">
        <f aca="false">J498*(E498-K498)*(1-F498)</f>
        <v>111.88235565</v>
      </c>
      <c r="S498" s="10" t="n">
        <f aca="false">M498*(F498-L498)</f>
        <v>-651.941355150887</v>
      </c>
      <c r="T498" s="10" t="n">
        <f aca="false">ROUND(P498-(Q498+R498+S498),2)</f>
        <v>0</v>
      </c>
    </row>
    <row r="499" customFormat="false" ht="15" hidden="false" customHeight="true" outlineLevel="0" collapsed="false">
      <c r="A499" s="7" t="s">
        <v>60</v>
      </c>
      <c r="B499" s="7" t="s">
        <v>74</v>
      </c>
      <c r="C499" s="7" t="s">
        <v>68</v>
      </c>
      <c r="D499" s="8" t="n">
        <v>189897.42</v>
      </c>
      <c r="E499" s="9" t="n">
        <v>0.08</v>
      </c>
      <c r="F499" s="9" t="n">
        <v>0.55</v>
      </c>
      <c r="G499" s="10" t="n">
        <f aca="false">D499*(1-E499)</f>
        <v>174705.6264</v>
      </c>
      <c r="H499" s="10" t="n">
        <f aca="false">G499*F499</f>
        <v>96088.09452</v>
      </c>
      <c r="I499" s="10" t="n">
        <f aca="false">G499-H499</f>
        <v>78617.53188</v>
      </c>
      <c r="J499" s="8" t="n">
        <v>196134.65</v>
      </c>
      <c r="K499" s="9" t="n">
        <v>0.0707</v>
      </c>
      <c r="L499" s="9" t="n">
        <v>0.5498</v>
      </c>
      <c r="M499" s="10" t="n">
        <f aca="false">J499*(1-K499)</f>
        <v>182267.930245</v>
      </c>
      <c r="N499" s="10" t="n">
        <f aca="false">M499*L499</f>
        <v>100210.908048701</v>
      </c>
      <c r="O499" s="10" t="n">
        <f aca="false">M499-N499</f>
        <v>82057.022196299</v>
      </c>
      <c r="P499" s="10" t="n">
        <f aca="false">O499-I499</f>
        <v>3439.49031629901</v>
      </c>
      <c r="Q499" s="10" t="n">
        <f aca="false">(J499-D499)*(1-E499)*(1-F499)</f>
        <v>2582.21321999999</v>
      </c>
      <c r="R499" s="10" t="n">
        <f aca="false">J499*(E499-K499)*(1-F499)</f>
        <v>820.82351025</v>
      </c>
      <c r="S499" s="10" t="n">
        <f aca="false">M499*(F499-L499)</f>
        <v>36.4535860490162</v>
      </c>
      <c r="T499" s="10" t="n">
        <f aca="false">ROUND(P499-(Q499+R499+S499),2)</f>
        <v>0</v>
      </c>
    </row>
    <row r="500" customFormat="false" ht="15" hidden="false" customHeight="true" outlineLevel="0" collapsed="false">
      <c r="A500" s="7" t="s">
        <v>61</v>
      </c>
      <c r="B500" s="7" t="s">
        <v>74</v>
      </c>
      <c r="C500" s="7" t="s">
        <v>68</v>
      </c>
      <c r="D500" s="8" t="n">
        <v>187485.02</v>
      </c>
      <c r="E500" s="9" t="n">
        <v>0.08</v>
      </c>
      <c r="F500" s="9" t="n">
        <v>0.55</v>
      </c>
      <c r="G500" s="10" t="n">
        <f aca="false">D500*(1-E500)</f>
        <v>172486.2184</v>
      </c>
      <c r="H500" s="10" t="n">
        <f aca="false">G500*F500</f>
        <v>94867.42012</v>
      </c>
      <c r="I500" s="10" t="n">
        <f aca="false">G500-H500</f>
        <v>77618.79828</v>
      </c>
      <c r="J500" s="8" t="n">
        <v>197170.47</v>
      </c>
      <c r="K500" s="9" t="n">
        <v>0.0808</v>
      </c>
      <c r="L500" s="9" t="n">
        <v>0.5492</v>
      </c>
      <c r="M500" s="10" t="n">
        <f aca="false">J500*(1-K500)</f>
        <v>181239.096024</v>
      </c>
      <c r="N500" s="10" t="n">
        <f aca="false">M500*L500</f>
        <v>99536.5115363808</v>
      </c>
      <c r="O500" s="10" t="n">
        <f aca="false">M500-N500</f>
        <v>81702.5844876192</v>
      </c>
      <c r="P500" s="10" t="n">
        <f aca="false">O500-I500</f>
        <v>4083.78620761921</v>
      </c>
      <c r="Q500" s="10" t="n">
        <f aca="false">(J500-D500)*(1-E500)*(1-F500)</f>
        <v>4009.7763</v>
      </c>
      <c r="R500" s="10" t="n">
        <f aca="false">J500*(E500-K500)*(1-F500)</f>
        <v>-70.9813691999996</v>
      </c>
      <c r="S500" s="10" t="n">
        <f aca="false">M500*(F500-L500)</f>
        <v>144.991276819204</v>
      </c>
      <c r="T500" s="10" t="n">
        <f aca="false">ROUND(P500-(Q500+R500+S500),2)</f>
        <v>0</v>
      </c>
    </row>
    <row r="501" customFormat="false" ht="15" hidden="false" customHeight="true" outlineLevel="0" collapsed="false">
      <c r="A501" s="7" t="s">
        <v>62</v>
      </c>
      <c r="B501" s="7" t="s">
        <v>74</v>
      </c>
      <c r="C501" s="7" t="s">
        <v>68</v>
      </c>
      <c r="D501" s="8" t="n">
        <v>194459.99</v>
      </c>
      <c r="E501" s="9" t="n">
        <v>0.08</v>
      </c>
      <c r="F501" s="9" t="n">
        <v>0.55</v>
      </c>
      <c r="G501" s="10" t="n">
        <f aca="false">D501*(1-E501)</f>
        <v>178903.1908</v>
      </c>
      <c r="H501" s="10" t="n">
        <f aca="false">G501*F501</f>
        <v>98396.75494</v>
      </c>
      <c r="I501" s="10" t="n">
        <f aca="false">G501-H501</f>
        <v>80506.43586</v>
      </c>
      <c r="J501" s="8" t="n">
        <v>191754.82</v>
      </c>
      <c r="K501" s="9" t="n">
        <v>0.0567</v>
      </c>
      <c r="L501" s="9" t="n">
        <v>0.5507</v>
      </c>
      <c r="M501" s="10" t="n">
        <f aca="false">J501*(1-K501)</f>
        <v>180882.321706</v>
      </c>
      <c r="N501" s="10" t="n">
        <f aca="false">M501*L501</f>
        <v>99611.8945634942</v>
      </c>
      <c r="O501" s="10" t="n">
        <f aca="false">M501-N501</f>
        <v>81270.4271425058</v>
      </c>
      <c r="P501" s="10" t="n">
        <f aca="false">O501-I501</f>
        <v>763.991282505813</v>
      </c>
      <c r="Q501" s="10" t="n">
        <f aca="false">(J501-D501)*(1-E501)*(1-F501)</f>
        <v>-1119.94037999999</v>
      </c>
      <c r="R501" s="10" t="n">
        <f aca="false">J501*(E501-K501)*(1-F501)</f>
        <v>2010.5492877</v>
      </c>
      <c r="S501" s="10" t="n">
        <f aca="false">M501*(F501-L501)</f>
        <v>-126.617625194186</v>
      </c>
      <c r="T501" s="10" t="n">
        <f aca="false">ROUND(P501-(Q501+R501+S501),2)</f>
        <v>-0</v>
      </c>
    </row>
    <row r="502" customFormat="false" ht="15" hidden="false" customHeight="true" outlineLevel="0" collapsed="false">
      <c r="A502" s="7" t="s">
        <v>63</v>
      </c>
      <c r="B502" s="7" t="s">
        <v>74</v>
      </c>
      <c r="C502" s="7" t="s">
        <v>68</v>
      </c>
      <c r="D502" s="8" t="n">
        <v>199612.55</v>
      </c>
      <c r="E502" s="9" t="n">
        <v>0.08</v>
      </c>
      <c r="F502" s="9" t="n">
        <v>0.55</v>
      </c>
      <c r="G502" s="10" t="n">
        <f aca="false">D502*(1-E502)</f>
        <v>183643.546</v>
      </c>
      <c r="H502" s="10" t="n">
        <f aca="false">G502*F502</f>
        <v>101003.9503</v>
      </c>
      <c r="I502" s="10" t="n">
        <f aca="false">G502-H502</f>
        <v>82639.5957</v>
      </c>
      <c r="J502" s="8" t="n">
        <v>207588.88</v>
      </c>
      <c r="K502" s="9" t="n">
        <v>0.0685</v>
      </c>
      <c r="L502" s="9" t="n">
        <v>0.5466</v>
      </c>
      <c r="M502" s="10" t="n">
        <f aca="false">J502*(1-K502)</f>
        <v>193369.04172</v>
      </c>
      <c r="N502" s="10" t="n">
        <f aca="false">M502*L502</f>
        <v>105695.518204152</v>
      </c>
      <c r="O502" s="10" t="n">
        <f aca="false">M502-N502</f>
        <v>87673.523515848</v>
      </c>
      <c r="P502" s="10" t="n">
        <f aca="false">O502-I502</f>
        <v>5033.92781584802</v>
      </c>
      <c r="Q502" s="10" t="n">
        <f aca="false">(J502-D502)*(1-E502)*(1-F502)</f>
        <v>3302.20062000001</v>
      </c>
      <c r="R502" s="10" t="n">
        <f aca="false">J502*(E502-K502)*(1-F502)</f>
        <v>1074.272454</v>
      </c>
      <c r="S502" s="10" t="n">
        <f aca="false">M502*(F502-L502)</f>
        <v>657.454741848013</v>
      </c>
      <c r="T502" s="10" t="n">
        <f aca="false">ROUND(P502-(Q502+R502+S502),2)</f>
        <v>0</v>
      </c>
    </row>
    <row r="503" customFormat="false" ht="15" hidden="false" customHeight="true" outlineLevel="0" collapsed="false">
      <c r="A503" s="7" t="s">
        <v>64</v>
      </c>
      <c r="B503" s="7" t="s">
        <v>74</v>
      </c>
      <c r="C503" s="7" t="s">
        <v>68</v>
      </c>
      <c r="D503" s="8" t="n">
        <v>210560.1</v>
      </c>
      <c r="E503" s="9" t="n">
        <v>0.08</v>
      </c>
      <c r="F503" s="9" t="n">
        <v>0.55</v>
      </c>
      <c r="G503" s="10" t="n">
        <f aca="false">D503*(1-E503)</f>
        <v>193715.292</v>
      </c>
      <c r="H503" s="10" t="n">
        <f aca="false">G503*F503</f>
        <v>106543.4106</v>
      </c>
      <c r="I503" s="10" t="n">
        <f aca="false">G503-H503</f>
        <v>87171.8814</v>
      </c>
      <c r="J503" s="8" t="n">
        <v>199679.29</v>
      </c>
      <c r="K503" s="9" t="n">
        <v>0.0891</v>
      </c>
      <c r="L503" s="9" t="n">
        <v>0.5573</v>
      </c>
      <c r="M503" s="10" t="n">
        <f aca="false">J503*(1-K503)</f>
        <v>181887.865261</v>
      </c>
      <c r="N503" s="10" t="n">
        <f aca="false">M503*L503</f>
        <v>101366.107309955</v>
      </c>
      <c r="O503" s="10" t="n">
        <f aca="false">M503-N503</f>
        <v>80521.7579510447</v>
      </c>
      <c r="P503" s="10" t="n">
        <f aca="false">O503-I503</f>
        <v>-6650.12344895529</v>
      </c>
      <c r="Q503" s="10" t="n">
        <f aca="false">(J503-D503)*(1-E503)*(1-F503)</f>
        <v>-4504.65534</v>
      </c>
      <c r="R503" s="10" t="n">
        <f aca="false">J503*(E503-K503)*(1-F503)</f>
        <v>-817.68669255</v>
      </c>
      <c r="S503" s="10" t="n">
        <f aca="false">M503*(F503-L503)</f>
        <v>-1327.7814164053</v>
      </c>
      <c r="T503" s="10" t="n">
        <f aca="false">ROUND(P503-(Q503+R503+S503),2)</f>
        <v>0</v>
      </c>
    </row>
    <row r="504" customFormat="false" ht="15" hidden="false" customHeight="true" outlineLevel="0" collapsed="false">
      <c r="A504" s="7" t="s">
        <v>65</v>
      </c>
      <c r="B504" s="7" t="s">
        <v>74</v>
      </c>
      <c r="C504" s="7" t="s">
        <v>68</v>
      </c>
      <c r="D504" s="8" t="n">
        <v>250548.16</v>
      </c>
      <c r="E504" s="9" t="n">
        <v>0.08</v>
      </c>
      <c r="F504" s="9" t="n">
        <v>0.55</v>
      </c>
      <c r="G504" s="10" t="n">
        <f aca="false">D504*(1-E504)</f>
        <v>230504.3072</v>
      </c>
      <c r="H504" s="10" t="n">
        <f aca="false">G504*F504</f>
        <v>126777.36896</v>
      </c>
      <c r="I504" s="10" t="n">
        <f aca="false">G504-H504</f>
        <v>103726.93824</v>
      </c>
      <c r="J504" s="8" t="n">
        <v>242205.33</v>
      </c>
      <c r="K504" s="9" t="n">
        <v>0.0924</v>
      </c>
      <c r="L504" s="9" t="n">
        <v>0.5562</v>
      </c>
      <c r="M504" s="10" t="n">
        <f aca="false">J504*(1-K504)</f>
        <v>219825.557508</v>
      </c>
      <c r="N504" s="10" t="n">
        <f aca="false">M504*L504</f>
        <v>122266.97508595</v>
      </c>
      <c r="O504" s="10" t="n">
        <f aca="false">M504-N504</f>
        <v>97558.5824220504</v>
      </c>
      <c r="P504" s="10" t="n">
        <f aca="false">O504-I504</f>
        <v>-6168.3558179496</v>
      </c>
      <c r="Q504" s="10" t="n">
        <f aca="false">(J504-D504)*(1-E504)*(1-F504)</f>
        <v>-3453.93162000001</v>
      </c>
      <c r="R504" s="10" t="n">
        <f aca="false">J504*(E504-K504)*(1-F504)</f>
        <v>-1351.5057414</v>
      </c>
      <c r="S504" s="10" t="n">
        <f aca="false">M504*(F504-L504)</f>
        <v>-1362.9184565496</v>
      </c>
      <c r="T504" s="10" t="n">
        <f aca="false">ROUND(P504-(Q504+R504+S504),2)</f>
        <v>0</v>
      </c>
    </row>
    <row r="505" customFormat="false" ht="15" hidden="false" customHeight="true" outlineLevel="0" collapsed="false">
      <c r="A505" s="7" t="s">
        <v>66</v>
      </c>
      <c r="B505" s="7" t="s">
        <v>74</v>
      </c>
      <c r="C505" s="7" t="s">
        <v>68</v>
      </c>
      <c r="D505" s="8" t="n">
        <v>236729.34</v>
      </c>
      <c r="E505" s="9" t="n">
        <v>0.08</v>
      </c>
      <c r="F505" s="9" t="n">
        <v>0.55</v>
      </c>
      <c r="G505" s="10" t="n">
        <f aca="false">D505*(1-E505)</f>
        <v>217790.9928</v>
      </c>
      <c r="H505" s="10" t="n">
        <f aca="false">G505*F505</f>
        <v>119785.04604</v>
      </c>
      <c r="I505" s="10" t="n">
        <f aca="false">G505-H505</f>
        <v>98005.94676</v>
      </c>
      <c r="J505" s="8" t="n">
        <v>245712.78</v>
      </c>
      <c r="K505" s="9" t="n">
        <v>0.0823</v>
      </c>
      <c r="L505" s="9" t="n">
        <v>0.5673</v>
      </c>
      <c r="M505" s="10" t="n">
        <f aca="false">J505*(1-K505)</f>
        <v>225490.618206</v>
      </c>
      <c r="N505" s="10" t="n">
        <f aca="false">M505*L505</f>
        <v>127920.827708264</v>
      </c>
      <c r="O505" s="10" t="n">
        <f aca="false">M505-N505</f>
        <v>97569.7904977362</v>
      </c>
      <c r="P505" s="10" t="n">
        <f aca="false">O505-I505</f>
        <v>-436.156262263801</v>
      </c>
      <c r="Q505" s="10" t="n">
        <f aca="false">(J505-D505)*(1-E505)*(1-F505)</f>
        <v>3719.14416</v>
      </c>
      <c r="R505" s="10" t="n">
        <f aca="false">J505*(E505-K505)*(1-F505)</f>
        <v>-254.3127273</v>
      </c>
      <c r="S505" s="10" t="n">
        <f aca="false">M505*(F505-L505)</f>
        <v>-3900.9876949638</v>
      </c>
      <c r="T505" s="10" t="n">
        <f aca="false">ROUND(P505-(Q505+R505+S505),2)</f>
        <v>-0</v>
      </c>
    </row>
    <row r="506" customFormat="false" ht="15" hidden="false" customHeight="true" outlineLevel="0" collapsed="false">
      <c r="A506" s="7" t="s">
        <v>41</v>
      </c>
      <c r="B506" s="7" t="s">
        <v>74</v>
      </c>
      <c r="C506" s="7" t="s">
        <v>69</v>
      </c>
      <c r="D506" s="8" t="n">
        <v>149148.8</v>
      </c>
      <c r="E506" s="9" t="n">
        <v>0.11</v>
      </c>
      <c r="F506" s="9" t="n">
        <v>0.54</v>
      </c>
      <c r="G506" s="10" t="n">
        <f aca="false">D506*(1-E506)</f>
        <v>132742.432</v>
      </c>
      <c r="H506" s="10" t="n">
        <f aca="false">G506*F506</f>
        <v>71680.91328</v>
      </c>
      <c r="I506" s="10" t="n">
        <f aca="false">G506-H506</f>
        <v>61061.51872</v>
      </c>
      <c r="J506" s="8" t="n">
        <v>144931.48</v>
      </c>
      <c r="K506" s="9" t="n">
        <v>0.0983</v>
      </c>
      <c r="L506" s="9" t="n">
        <v>0.5359</v>
      </c>
      <c r="M506" s="10" t="n">
        <f aca="false">J506*(1-K506)</f>
        <v>130684.715516</v>
      </c>
      <c r="N506" s="10" t="n">
        <f aca="false">M506*L506</f>
        <v>70033.9390450244</v>
      </c>
      <c r="O506" s="10" t="n">
        <f aca="false">M506-N506</f>
        <v>60650.7764709756</v>
      </c>
      <c r="P506" s="10" t="n">
        <f aca="false">O506-I506</f>
        <v>-410.742249024406</v>
      </c>
      <c r="Q506" s="10" t="n">
        <f aca="false">(J506-D506)*(1-E506)*(1-F506)</f>
        <v>-1726.57080799999</v>
      </c>
      <c r="R506" s="10" t="n">
        <f aca="false">J506*(E506-K506)*(1-F506)</f>
        <v>780.02122536</v>
      </c>
      <c r="S506" s="10" t="n">
        <f aca="false">M506*(F506-L506)</f>
        <v>535.807333615599</v>
      </c>
      <c r="T506" s="10" t="n">
        <f aca="false">ROUND(P506-(Q506+R506+S506),2)</f>
        <v>-0</v>
      </c>
    </row>
    <row r="507" customFormat="false" ht="15" hidden="false" customHeight="true" outlineLevel="0" collapsed="false">
      <c r="A507" s="7" t="s">
        <v>44</v>
      </c>
      <c r="B507" s="7" t="s">
        <v>74</v>
      </c>
      <c r="C507" s="7" t="s">
        <v>69</v>
      </c>
      <c r="D507" s="8" t="n">
        <v>147001.06</v>
      </c>
      <c r="E507" s="9" t="n">
        <v>0.11</v>
      </c>
      <c r="F507" s="9" t="n">
        <v>0.54</v>
      </c>
      <c r="G507" s="10" t="n">
        <f aca="false">D507*(1-E507)</f>
        <v>130830.9434</v>
      </c>
      <c r="H507" s="10" t="n">
        <f aca="false">G507*F507</f>
        <v>70648.709436</v>
      </c>
      <c r="I507" s="10" t="n">
        <f aca="false">G507-H507</f>
        <v>60182.233964</v>
      </c>
      <c r="J507" s="8" t="n">
        <v>154962.67</v>
      </c>
      <c r="K507" s="9" t="n">
        <v>0.1149</v>
      </c>
      <c r="L507" s="9" t="n">
        <v>0.5352</v>
      </c>
      <c r="M507" s="10" t="n">
        <f aca="false">J507*(1-K507)</f>
        <v>137157.459217</v>
      </c>
      <c r="N507" s="10" t="n">
        <f aca="false">M507*L507</f>
        <v>73406.6721729384</v>
      </c>
      <c r="O507" s="10" t="n">
        <f aca="false">M507-N507</f>
        <v>63750.7870440616</v>
      </c>
      <c r="P507" s="10" t="n">
        <f aca="false">O507-I507</f>
        <v>3568.55308006161</v>
      </c>
      <c r="Q507" s="10" t="n">
        <f aca="false">(J507-D507)*(1-E507)*(1-F507)</f>
        <v>3259.48313400001</v>
      </c>
      <c r="R507" s="10" t="n">
        <f aca="false">J507*(E507-K507)*(1-F507)</f>
        <v>-349.28585818</v>
      </c>
      <c r="S507" s="10" t="n">
        <f aca="false">M507*(F507-L507)</f>
        <v>658.355804241604</v>
      </c>
      <c r="T507" s="10" t="n">
        <f aca="false">ROUND(P507-(Q507+R507+S507),2)</f>
        <v>0</v>
      </c>
    </row>
    <row r="508" customFormat="false" ht="15" hidden="false" customHeight="true" outlineLevel="0" collapsed="false">
      <c r="A508" s="7" t="s">
        <v>45</v>
      </c>
      <c r="B508" s="7" t="s">
        <v>74</v>
      </c>
      <c r="C508" s="7" t="s">
        <v>69</v>
      </c>
      <c r="D508" s="8" t="n">
        <v>159953.8</v>
      </c>
      <c r="E508" s="9" t="n">
        <v>0.11</v>
      </c>
      <c r="F508" s="9" t="n">
        <v>0.54</v>
      </c>
      <c r="G508" s="10" t="n">
        <f aca="false">D508*(1-E508)</f>
        <v>142358.882</v>
      </c>
      <c r="H508" s="10" t="n">
        <f aca="false">G508*F508</f>
        <v>76873.79628</v>
      </c>
      <c r="I508" s="10" t="n">
        <f aca="false">G508-H508</f>
        <v>65485.08572</v>
      </c>
      <c r="J508" s="8" t="n">
        <v>160722.99</v>
      </c>
      <c r="K508" s="9" t="n">
        <v>0.1137</v>
      </c>
      <c r="L508" s="9" t="n">
        <v>0.5611</v>
      </c>
      <c r="M508" s="10" t="n">
        <f aca="false">J508*(1-K508)</f>
        <v>142448.786037</v>
      </c>
      <c r="N508" s="10" t="n">
        <f aca="false">M508*L508</f>
        <v>79928.0138453607</v>
      </c>
      <c r="O508" s="10" t="n">
        <f aca="false">M508-N508</f>
        <v>62520.7721916393</v>
      </c>
      <c r="P508" s="10" t="n">
        <f aca="false">O508-I508</f>
        <v>-2964.3135283607</v>
      </c>
      <c r="Q508" s="10" t="n">
        <f aca="false">(J508-D508)*(1-E508)*(1-F508)</f>
        <v>314.906386000001</v>
      </c>
      <c r="R508" s="10" t="n">
        <f aca="false">J508*(E508-K508)*(1-F508)</f>
        <v>-273.55052898</v>
      </c>
      <c r="S508" s="10" t="n">
        <f aca="false">M508*(F508-L508)</f>
        <v>-3005.6693853807</v>
      </c>
      <c r="T508" s="10" t="n">
        <f aca="false">ROUND(P508-(Q508+R508+S508),2)</f>
        <v>0</v>
      </c>
    </row>
    <row r="509" customFormat="false" ht="15" hidden="false" customHeight="true" outlineLevel="0" collapsed="false">
      <c r="A509" s="7" t="s">
        <v>46</v>
      </c>
      <c r="B509" s="7" t="s">
        <v>74</v>
      </c>
      <c r="C509" s="7" t="s">
        <v>69</v>
      </c>
      <c r="D509" s="8" t="n">
        <v>166304.23</v>
      </c>
      <c r="E509" s="9" t="n">
        <v>0.11</v>
      </c>
      <c r="F509" s="9" t="n">
        <v>0.54</v>
      </c>
      <c r="G509" s="10" t="n">
        <f aca="false">D509*(1-E509)</f>
        <v>148010.7647</v>
      </c>
      <c r="H509" s="10" t="n">
        <f aca="false">G509*F509</f>
        <v>79925.812938</v>
      </c>
      <c r="I509" s="10" t="n">
        <f aca="false">G509-H509</f>
        <v>68084.951762</v>
      </c>
      <c r="J509" s="8" t="n">
        <v>168262.43</v>
      </c>
      <c r="K509" s="9" t="n">
        <v>0.1007</v>
      </c>
      <c r="L509" s="9" t="n">
        <v>0.5382</v>
      </c>
      <c r="M509" s="10" t="n">
        <f aca="false">J509*(1-K509)</f>
        <v>151318.403299</v>
      </c>
      <c r="N509" s="10" t="n">
        <f aca="false">M509*L509</f>
        <v>81439.5646555218</v>
      </c>
      <c r="O509" s="10" t="n">
        <f aca="false">M509-N509</f>
        <v>69878.8386434782</v>
      </c>
      <c r="P509" s="10" t="n">
        <f aca="false">O509-I509</f>
        <v>1793.8868814782</v>
      </c>
      <c r="Q509" s="10" t="n">
        <f aca="false">(J509-D509)*(1-E509)*(1-F509)</f>
        <v>801.687079999993</v>
      </c>
      <c r="R509" s="10" t="n">
        <f aca="false">J509*(E509-K509)*(1-F509)</f>
        <v>719.82667554</v>
      </c>
      <c r="S509" s="10" t="n">
        <f aca="false">M509*(F509-L509)</f>
        <v>272.373125938204</v>
      </c>
      <c r="T509" s="10" t="n">
        <f aca="false">ROUND(P509-(Q509+R509+S509),2)</f>
        <v>0</v>
      </c>
    </row>
    <row r="510" customFormat="false" ht="15" hidden="false" customHeight="true" outlineLevel="0" collapsed="false">
      <c r="A510" s="7" t="s">
        <v>47</v>
      </c>
      <c r="B510" s="7" t="s">
        <v>74</v>
      </c>
      <c r="C510" s="7" t="s">
        <v>69</v>
      </c>
      <c r="D510" s="8" t="n">
        <v>171023.96</v>
      </c>
      <c r="E510" s="9" t="n">
        <v>0.11</v>
      </c>
      <c r="F510" s="9" t="n">
        <v>0.54</v>
      </c>
      <c r="G510" s="10" t="n">
        <f aca="false">D510*(1-E510)</f>
        <v>152211.3244</v>
      </c>
      <c r="H510" s="10" t="n">
        <f aca="false">G510*F510</f>
        <v>82194.115176</v>
      </c>
      <c r="I510" s="10" t="n">
        <f aca="false">G510-H510</f>
        <v>70017.209224</v>
      </c>
      <c r="J510" s="8" t="n">
        <v>167157.71</v>
      </c>
      <c r="K510" s="9" t="n">
        <v>0.0972</v>
      </c>
      <c r="L510" s="9" t="n">
        <v>0.542</v>
      </c>
      <c r="M510" s="10" t="n">
        <f aca="false">J510*(1-K510)</f>
        <v>150909.980588</v>
      </c>
      <c r="N510" s="10" t="n">
        <f aca="false">M510*L510</f>
        <v>81793.209478696</v>
      </c>
      <c r="O510" s="10" t="n">
        <f aca="false">M510-N510</f>
        <v>69116.771109304</v>
      </c>
      <c r="P510" s="10" t="n">
        <f aca="false">O510-I510</f>
        <v>-900.438114695993</v>
      </c>
      <c r="Q510" s="10" t="n">
        <f aca="false">(J510-D510)*(1-E510)*(1-F510)</f>
        <v>-1582.84275</v>
      </c>
      <c r="R510" s="10" t="n">
        <f aca="false">J510*(E510-K510)*(1-F510)</f>
        <v>984.22459648</v>
      </c>
      <c r="S510" s="10" t="n">
        <f aca="false">M510*(F510-L510)</f>
        <v>-301.819961176</v>
      </c>
      <c r="T510" s="10" t="n">
        <f aca="false">ROUND(P510-(Q510+R510+S510),2)</f>
        <v>0</v>
      </c>
    </row>
    <row r="511" customFormat="false" ht="15" hidden="false" customHeight="true" outlineLevel="0" collapsed="false">
      <c r="A511" s="7" t="s">
        <v>48</v>
      </c>
      <c r="B511" s="7" t="s">
        <v>74</v>
      </c>
      <c r="C511" s="7" t="s">
        <v>69</v>
      </c>
      <c r="D511" s="8" t="n">
        <v>175796.72</v>
      </c>
      <c r="E511" s="9" t="n">
        <v>0.11</v>
      </c>
      <c r="F511" s="9" t="n">
        <v>0.54</v>
      </c>
      <c r="G511" s="10" t="n">
        <f aca="false">D511*(1-E511)</f>
        <v>156459.0808</v>
      </c>
      <c r="H511" s="10" t="n">
        <f aca="false">G511*F511</f>
        <v>84487.903632</v>
      </c>
      <c r="I511" s="10" t="n">
        <f aca="false">G511-H511</f>
        <v>71971.177168</v>
      </c>
      <c r="J511" s="8" t="n">
        <v>156255.45</v>
      </c>
      <c r="K511" s="9" t="n">
        <v>0.1083</v>
      </c>
      <c r="L511" s="9" t="n">
        <v>0.5407</v>
      </c>
      <c r="M511" s="10" t="n">
        <f aca="false">J511*(1-K511)</f>
        <v>139332.984765</v>
      </c>
      <c r="N511" s="10" t="n">
        <f aca="false">M511*L511</f>
        <v>75337.3448624355</v>
      </c>
      <c r="O511" s="10" t="n">
        <f aca="false">M511-N511</f>
        <v>63995.6399025645</v>
      </c>
      <c r="P511" s="10" t="n">
        <f aca="false">O511-I511</f>
        <v>-7975.53726543547</v>
      </c>
      <c r="Q511" s="10" t="n">
        <f aca="false">(J511-D511)*(1-E511)*(1-F511)</f>
        <v>-8000.195938</v>
      </c>
      <c r="R511" s="10" t="n">
        <f aca="false">J511*(E511-K511)*(1-F511)</f>
        <v>122.191761900001</v>
      </c>
      <c r="S511" s="10" t="n">
        <f aca="false">M511*(F511-L511)</f>
        <v>-97.5330893354893</v>
      </c>
      <c r="T511" s="10" t="n">
        <f aca="false">ROUND(P511-(Q511+R511+S511),2)</f>
        <v>0</v>
      </c>
    </row>
    <row r="512" customFormat="false" ht="15" hidden="false" customHeight="true" outlineLevel="0" collapsed="false">
      <c r="A512" s="7" t="s">
        <v>49</v>
      </c>
      <c r="B512" s="7" t="s">
        <v>74</v>
      </c>
      <c r="C512" s="7" t="s">
        <v>69</v>
      </c>
      <c r="D512" s="8" t="n">
        <v>173675.49</v>
      </c>
      <c r="E512" s="9" t="n">
        <v>0.11</v>
      </c>
      <c r="F512" s="9" t="n">
        <v>0.54</v>
      </c>
      <c r="G512" s="10" t="n">
        <f aca="false">D512*(1-E512)</f>
        <v>154571.1861</v>
      </c>
      <c r="H512" s="10" t="n">
        <f aca="false">G512*F512</f>
        <v>83468.440494</v>
      </c>
      <c r="I512" s="10" t="n">
        <f aca="false">G512-H512</f>
        <v>71102.745606</v>
      </c>
      <c r="J512" s="8" t="n">
        <v>189496.22</v>
      </c>
      <c r="K512" s="9" t="n">
        <v>0.1066</v>
      </c>
      <c r="L512" s="9" t="n">
        <v>0.5233</v>
      </c>
      <c r="M512" s="10" t="n">
        <f aca="false">J512*(1-K512)</f>
        <v>169295.922948</v>
      </c>
      <c r="N512" s="10" t="n">
        <f aca="false">M512*L512</f>
        <v>88592.5564786884</v>
      </c>
      <c r="O512" s="10" t="n">
        <f aca="false">M512-N512</f>
        <v>80703.3664693116</v>
      </c>
      <c r="P512" s="10" t="n">
        <f aca="false">O512-I512</f>
        <v>9600.6208633116</v>
      </c>
      <c r="Q512" s="10" t="n">
        <f aca="false">(J512-D512)*(1-E512)*(1-F512)</f>
        <v>6477.006862</v>
      </c>
      <c r="R512" s="10" t="n">
        <f aca="false">J512*(E512-K512)*(1-F512)</f>
        <v>296.37208808</v>
      </c>
      <c r="S512" s="10" t="n">
        <f aca="false">M512*(F512-L512)</f>
        <v>2827.24191323161</v>
      </c>
      <c r="T512" s="10" t="n">
        <f aca="false">ROUND(P512-(Q512+R512+S512),2)</f>
        <v>0</v>
      </c>
    </row>
    <row r="513" customFormat="false" ht="15" hidden="false" customHeight="true" outlineLevel="0" collapsed="false">
      <c r="A513" s="7" t="s">
        <v>50</v>
      </c>
      <c r="B513" s="7" t="s">
        <v>74</v>
      </c>
      <c r="C513" s="7" t="s">
        <v>69</v>
      </c>
      <c r="D513" s="8" t="n">
        <v>180251.3</v>
      </c>
      <c r="E513" s="9" t="n">
        <v>0.11</v>
      </c>
      <c r="F513" s="9" t="n">
        <v>0.54</v>
      </c>
      <c r="G513" s="10" t="n">
        <f aca="false">D513*(1-E513)</f>
        <v>160423.657</v>
      </c>
      <c r="H513" s="10" t="n">
        <f aca="false">G513*F513</f>
        <v>86628.77478</v>
      </c>
      <c r="I513" s="10" t="n">
        <f aca="false">G513-H513</f>
        <v>73794.88222</v>
      </c>
      <c r="J513" s="8" t="n">
        <v>170226.85</v>
      </c>
      <c r="K513" s="9" t="n">
        <v>0.1107</v>
      </c>
      <c r="L513" s="9" t="n">
        <v>0.5452</v>
      </c>
      <c r="M513" s="10" t="n">
        <f aca="false">J513*(1-K513)</f>
        <v>151382.737705</v>
      </c>
      <c r="N513" s="10" t="n">
        <f aca="false">M513*L513</f>
        <v>82533.868596766</v>
      </c>
      <c r="O513" s="10" t="n">
        <f aca="false">M513-N513</f>
        <v>68848.869108234</v>
      </c>
      <c r="P513" s="10" t="n">
        <f aca="false">O513-I513</f>
        <v>-4946.01311176601</v>
      </c>
      <c r="Q513" s="10" t="n">
        <f aca="false">(J513-D513)*(1-E513)*(1-F513)</f>
        <v>-4104.00982999999</v>
      </c>
      <c r="R513" s="10" t="n">
        <f aca="false">J513*(E513-K513)*(1-F513)</f>
        <v>-54.8130457000005</v>
      </c>
      <c r="S513" s="10" t="n">
        <f aca="false">M513*(F513-L513)</f>
        <v>-787.190236065997</v>
      </c>
      <c r="T513" s="10" t="n">
        <f aca="false">ROUND(P513-(Q513+R513+S513),2)</f>
        <v>0</v>
      </c>
    </row>
    <row r="514" customFormat="false" ht="15" hidden="false" customHeight="true" outlineLevel="0" collapsed="false">
      <c r="A514" s="7" t="s">
        <v>51</v>
      </c>
      <c r="B514" s="7" t="s">
        <v>74</v>
      </c>
      <c r="C514" s="7" t="s">
        <v>69</v>
      </c>
      <c r="D514" s="8" t="n">
        <v>185143.38</v>
      </c>
      <c r="E514" s="9" t="n">
        <v>0.11</v>
      </c>
      <c r="F514" s="9" t="n">
        <v>0.54</v>
      </c>
      <c r="G514" s="10" t="n">
        <f aca="false">D514*(1-E514)</f>
        <v>164777.6082</v>
      </c>
      <c r="H514" s="10" t="n">
        <f aca="false">G514*F514</f>
        <v>88979.908428</v>
      </c>
      <c r="I514" s="10" t="n">
        <f aca="false">G514-H514</f>
        <v>75797.699772</v>
      </c>
      <c r="J514" s="8" t="n">
        <v>192192.05</v>
      </c>
      <c r="K514" s="9" t="n">
        <v>0.1025</v>
      </c>
      <c r="L514" s="9" t="n">
        <v>0.5246</v>
      </c>
      <c r="M514" s="10" t="n">
        <f aca="false">J514*(1-K514)</f>
        <v>172492.364875</v>
      </c>
      <c r="N514" s="10" t="n">
        <f aca="false">M514*L514</f>
        <v>90489.494613425</v>
      </c>
      <c r="O514" s="10" t="n">
        <f aca="false">M514-N514</f>
        <v>82002.870261575</v>
      </c>
      <c r="P514" s="10" t="n">
        <f aca="false">O514-I514</f>
        <v>6205.17048957499</v>
      </c>
      <c r="Q514" s="10" t="n">
        <f aca="false">(J514-D514)*(1-E514)*(1-F514)</f>
        <v>2885.72549799999</v>
      </c>
      <c r="R514" s="10" t="n">
        <f aca="false">J514*(E514-K514)*(1-F514)</f>
        <v>663.062572500001</v>
      </c>
      <c r="S514" s="10" t="n">
        <f aca="false">M514*(F514-L514)</f>
        <v>2656.38241907501</v>
      </c>
      <c r="T514" s="10" t="n">
        <f aca="false">ROUND(P514-(Q514+R514+S514),2)</f>
        <v>0</v>
      </c>
    </row>
    <row r="515" customFormat="false" ht="15" hidden="false" customHeight="true" outlineLevel="0" collapsed="false">
      <c r="A515" s="7" t="s">
        <v>52</v>
      </c>
      <c r="B515" s="7" t="s">
        <v>74</v>
      </c>
      <c r="C515" s="7" t="s">
        <v>69</v>
      </c>
      <c r="D515" s="8" t="n">
        <v>195418.07</v>
      </c>
      <c r="E515" s="9" t="n">
        <v>0.11</v>
      </c>
      <c r="F515" s="9" t="n">
        <v>0.54</v>
      </c>
      <c r="G515" s="10" t="n">
        <f aca="false">D515*(1-E515)</f>
        <v>173922.0823</v>
      </c>
      <c r="H515" s="10" t="n">
        <f aca="false">G515*F515</f>
        <v>93917.924442</v>
      </c>
      <c r="I515" s="10" t="n">
        <f aca="false">G515-H515</f>
        <v>80004.157858</v>
      </c>
      <c r="J515" s="8" t="n">
        <v>197944.72</v>
      </c>
      <c r="K515" s="9" t="n">
        <v>0.1</v>
      </c>
      <c r="L515" s="9" t="n">
        <v>0.5366</v>
      </c>
      <c r="M515" s="10" t="n">
        <f aca="false">J515*(1-K515)</f>
        <v>178150.248</v>
      </c>
      <c r="N515" s="10" t="n">
        <f aca="false">M515*L515</f>
        <v>95595.4230768</v>
      </c>
      <c r="O515" s="10" t="n">
        <f aca="false">M515-N515</f>
        <v>82554.8249232</v>
      </c>
      <c r="P515" s="10" t="n">
        <f aca="false">O515-I515</f>
        <v>2550.66706520002</v>
      </c>
      <c r="Q515" s="10" t="n">
        <f aca="false">(J515-D515)*(1-E515)*(1-F515)</f>
        <v>1034.41051</v>
      </c>
      <c r="R515" s="10" t="n">
        <f aca="false">J515*(E515-K515)*(1-F515)</f>
        <v>910.545711999999</v>
      </c>
      <c r="S515" s="10" t="n">
        <f aca="false">M515*(F515-L515)</f>
        <v>605.710843200012</v>
      </c>
      <c r="T515" s="10" t="n">
        <f aca="false">ROUND(P515-(Q515+R515+S515),2)</f>
        <v>0</v>
      </c>
    </row>
    <row r="516" customFormat="false" ht="15" hidden="false" customHeight="true" outlineLevel="0" collapsed="false">
      <c r="A516" s="7" t="s">
        <v>53</v>
      </c>
      <c r="B516" s="7" t="s">
        <v>74</v>
      </c>
      <c r="C516" s="7" t="s">
        <v>69</v>
      </c>
      <c r="D516" s="8" t="n">
        <v>232672.13</v>
      </c>
      <c r="E516" s="9" t="n">
        <v>0.11</v>
      </c>
      <c r="F516" s="9" t="n">
        <v>0.54</v>
      </c>
      <c r="G516" s="10" t="n">
        <f aca="false">D516*(1-E516)</f>
        <v>207078.1957</v>
      </c>
      <c r="H516" s="10" t="n">
        <f aca="false">G516*F516</f>
        <v>111822.225678</v>
      </c>
      <c r="I516" s="10" t="n">
        <f aca="false">G516-H516</f>
        <v>95255.970022</v>
      </c>
      <c r="J516" s="8" t="n">
        <v>227291.52</v>
      </c>
      <c r="K516" s="9" t="n">
        <v>0.1122</v>
      </c>
      <c r="L516" s="9" t="n">
        <v>0.525</v>
      </c>
      <c r="M516" s="10" t="n">
        <f aca="false">J516*(1-K516)</f>
        <v>201789.411456</v>
      </c>
      <c r="N516" s="10" t="n">
        <f aca="false">M516*L516</f>
        <v>105939.4410144</v>
      </c>
      <c r="O516" s="10" t="n">
        <f aca="false">M516-N516</f>
        <v>95849.9704416</v>
      </c>
      <c r="P516" s="10" t="n">
        <f aca="false">O516-I516</f>
        <v>594.000419600008</v>
      </c>
      <c r="Q516" s="10" t="n">
        <f aca="false">(J516-D516)*(1-E516)*(1-F516)</f>
        <v>-2202.82173400001</v>
      </c>
      <c r="R516" s="10" t="n">
        <f aca="false">J516*(E516-K516)*(1-F516)</f>
        <v>-230.019018239999</v>
      </c>
      <c r="S516" s="10" t="n">
        <f aca="false">M516*(F516-L516)</f>
        <v>3026.84117184</v>
      </c>
      <c r="T516" s="10" t="n">
        <f aca="false">ROUND(P516-(Q516+R516+S516),2)</f>
        <v>0</v>
      </c>
    </row>
    <row r="517" customFormat="false" ht="15" hidden="false" customHeight="true" outlineLevel="0" collapsed="false">
      <c r="A517" s="7" t="s">
        <v>54</v>
      </c>
      <c r="B517" s="7" t="s">
        <v>74</v>
      </c>
      <c r="C517" s="7" t="s">
        <v>69</v>
      </c>
      <c r="D517" s="8" t="n">
        <v>219971.28</v>
      </c>
      <c r="E517" s="9" t="n">
        <v>0.11</v>
      </c>
      <c r="F517" s="9" t="n">
        <v>0.54</v>
      </c>
      <c r="G517" s="10" t="n">
        <f aca="false">D517*(1-E517)</f>
        <v>195774.4392</v>
      </c>
      <c r="H517" s="10" t="n">
        <f aca="false">G517*F517</f>
        <v>105718.197168</v>
      </c>
      <c r="I517" s="10" t="n">
        <f aca="false">G517-H517</f>
        <v>90056.242032</v>
      </c>
      <c r="J517" s="8" t="n">
        <v>212630.02</v>
      </c>
      <c r="K517" s="9" t="n">
        <v>0.1158</v>
      </c>
      <c r="L517" s="9" t="n">
        <v>0.5404</v>
      </c>
      <c r="M517" s="10" t="n">
        <f aca="false">J517*(1-K517)</f>
        <v>188007.463684</v>
      </c>
      <c r="N517" s="10" t="n">
        <f aca="false">M517*L517</f>
        <v>101599.233374834</v>
      </c>
      <c r="O517" s="10" t="n">
        <f aca="false">M517-N517</f>
        <v>86408.2303091664</v>
      </c>
      <c r="P517" s="10" t="n">
        <f aca="false">O517-I517</f>
        <v>-3648.0117228336</v>
      </c>
      <c r="Q517" s="10" t="n">
        <f aca="false">(J517-D517)*(1-E517)*(1-F517)</f>
        <v>-3005.511844</v>
      </c>
      <c r="R517" s="10" t="n">
        <f aca="false">J517*(E517-K517)*(1-F517)</f>
        <v>-567.29689336</v>
      </c>
      <c r="S517" s="10" t="n">
        <f aca="false">M517*(F517-L517)</f>
        <v>-75.2029854735917</v>
      </c>
      <c r="T517" s="10" t="n">
        <f aca="false">ROUND(P517-(Q517+R517+S517),2)</f>
        <v>0</v>
      </c>
    </row>
    <row r="518" customFormat="false" ht="15" hidden="false" customHeight="true" outlineLevel="0" collapsed="false">
      <c r="A518" s="7" t="s">
        <v>55</v>
      </c>
      <c r="B518" s="7" t="s">
        <v>74</v>
      </c>
      <c r="C518" s="7" t="s">
        <v>69</v>
      </c>
      <c r="D518" s="8" t="n">
        <v>163467.09</v>
      </c>
      <c r="E518" s="9" t="n">
        <v>0.11</v>
      </c>
      <c r="F518" s="9" t="n">
        <v>0.54</v>
      </c>
      <c r="G518" s="10" t="n">
        <f aca="false">D518*(1-E518)</f>
        <v>145485.7101</v>
      </c>
      <c r="H518" s="10" t="n">
        <f aca="false">G518*F518</f>
        <v>78562.283454</v>
      </c>
      <c r="I518" s="10" t="n">
        <f aca="false">G518-H518</f>
        <v>66923.426646</v>
      </c>
      <c r="J518" s="8" t="n">
        <v>169317.89</v>
      </c>
      <c r="K518" s="9" t="n">
        <v>0.1145</v>
      </c>
      <c r="L518" s="9" t="n">
        <v>0.5306</v>
      </c>
      <c r="M518" s="10" t="n">
        <f aca="false">J518*(1-K518)</f>
        <v>149930.991595</v>
      </c>
      <c r="N518" s="10" t="n">
        <f aca="false">M518*L518</f>
        <v>79553.384140307</v>
      </c>
      <c r="O518" s="10" t="n">
        <f aca="false">M518-N518</f>
        <v>70377.607454693</v>
      </c>
      <c r="P518" s="10" t="n">
        <f aca="false">O518-I518</f>
        <v>3454.18080869301</v>
      </c>
      <c r="Q518" s="10" t="n">
        <f aca="false">(J518-D518)*(1-E518)*(1-F518)</f>
        <v>2395.31752000001</v>
      </c>
      <c r="R518" s="10" t="n">
        <f aca="false">J518*(E518-K518)*(1-F518)</f>
        <v>-350.4880323</v>
      </c>
      <c r="S518" s="10" t="n">
        <f aca="false">M518*(F518-L518)</f>
        <v>1409.35132099301</v>
      </c>
      <c r="T518" s="10" t="n">
        <f aca="false">ROUND(P518-(Q518+R518+S518),2)</f>
        <v>0</v>
      </c>
    </row>
    <row r="519" customFormat="false" ht="15" hidden="false" customHeight="true" outlineLevel="0" collapsed="false">
      <c r="A519" s="7" t="s">
        <v>56</v>
      </c>
      <c r="B519" s="7" t="s">
        <v>74</v>
      </c>
      <c r="C519" s="7" t="s">
        <v>69</v>
      </c>
      <c r="D519" s="8" t="n">
        <v>161001.16</v>
      </c>
      <c r="E519" s="9" t="n">
        <v>0.11</v>
      </c>
      <c r="F519" s="9" t="n">
        <v>0.54</v>
      </c>
      <c r="G519" s="10" t="n">
        <f aca="false">D519*(1-E519)</f>
        <v>143291.0324</v>
      </c>
      <c r="H519" s="10" t="n">
        <f aca="false">G519*F519</f>
        <v>77377.157496</v>
      </c>
      <c r="I519" s="10" t="n">
        <f aca="false">G519-H519</f>
        <v>65913.874904</v>
      </c>
      <c r="J519" s="8" t="n">
        <v>164706.29</v>
      </c>
      <c r="K519" s="9" t="n">
        <v>0.1157</v>
      </c>
      <c r="L519" s="9" t="n">
        <v>0.5389</v>
      </c>
      <c r="M519" s="10" t="n">
        <f aca="false">J519*(1-K519)</f>
        <v>145649.772247</v>
      </c>
      <c r="N519" s="10" t="n">
        <f aca="false">M519*L519</f>
        <v>78490.6622639083</v>
      </c>
      <c r="O519" s="10" t="n">
        <f aca="false">M519-N519</f>
        <v>67159.1099830917</v>
      </c>
      <c r="P519" s="10" t="n">
        <f aca="false">O519-I519</f>
        <v>1245.2350790917</v>
      </c>
      <c r="Q519" s="10" t="n">
        <f aca="false">(J519-D519)*(1-E519)*(1-F519)</f>
        <v>1516.880222</v>
      </c>
      <c r="R519" s="10" t="n">
        <f aca="false">J519*(E519-K519)*(1-F519)</f>
        <v>-431.85989238</v>
      </c>
      <c r="S519" s="10" t="n">
        <f aca="false">M519*(F519-L519)</f>
        <v>160.214749471699</v>
      </c>
      <c r="T519" s="10" t="n">
        <f aca="false">ROUND(P519-(Q519+R519+S519),2)</f>
        <v>0</v>
      </c>
    </row>
    <row r="520" customFormat="false" ht="15" hidden="false" customHeight="true" outlineLevel="0" collapsed="false">
      <c r="A520" s="7" t="s">
        <v>57</v>
      </c>
      <c r="B520" s="7" t="s">
        <v>74</v>
      </c>
      <c r="C520" s="7" t="s">
        <v>69</v>
      </c>
      <c r="D520" s="8" t="n">
        <v>175067.55</v>
      </c>
      <c r="E520" s="9" t="n">
        <v>0.11</v>
      </c>
      <c r="F520" s="9" t="n">
        <v>0.54</v>
      </c>
      <c r="G520" s="10" t="n">
        <f aca="false">D520*(1-E520)</f>
        <v>155810.1195</v>
      </c>
      <c r="H520" s="10" t="n">
        <f aca="false">G520*F520</f>
        <v>84137.46453</v>
      </c>
      <c r="I520" s="10" t="n">
        <f aca="false">G520-H520</f>
        <v>71672.65497</v>
      </c>
      <c r="J520" s="8" t="n">
        <v>172019.01</v>
      </c>
      <c r="K520" s="9" t="n">
        <v>0.1207</v>
      </c>
      <c r="L520" s="9" t="n">
        <v>0.5377</v>
      </c>
      <c r="M520" s="10" t="n">
        <f aca="false">J520*(1-K520)</f>
        <v>151256.315493</v>
      </c>
      <c r="N520" s="10" t="n">
        <f aca="false">M520*L520</f>
        <v>81330.5208405861</v>
      </c>
      <c r="O520" s="10" t="n">
        <f aca="false">M520-N520</f>
        <v>69925.7946524139</v>
      </c>
      <c r="P520" s="10" t="n">
        <f aca="false">O520-I520</f>
        <v>-1746.86031758608</v>
      </c>
      <c r="Q520" s="10" t="n">
        <f aca="false">(J520-D520)*(1-E520)*(1-F520)</f>
        <v>-1248.07227599999</v>
      </c>
      <c r="R520" s="10" t="n">
        <f aca="false">J520*(E520-K520)*(1-F520)</f>
        <v>-846.67756722</v>
      </c>
      <c r="S520" s="10" t="n">
        <f aca="false">M520*(F520-L520)</f>
        <v>347.889525633912</v>
      </c>
      <c r="T520" s="10" t="n">
        <f aca="false">ROUND(P520-(Q520+R520+S520),2)</f>
        <v>0</v>
      </c>
    </row>
    <row r="521" customFormat="false" ht="15" hidden="false" customHeight="true" outlineLevel="0" collapsed="false">
      <c r="A521" s="7" t="s">
        <v>58</v>
      </c>
      <c r="B521" s="7" t="s">
        <v>74</v>
      </c>
      <c r="C521" s="7" t="s">
        <v>69</v>
      </c>
      <c r="D521" s="8" t="n">
        <v>181895.25</v>
      </c>
      <c r="E521" s="9" t="n">
        <v>0.11</v>
      </c>
      <c r="F521" s="9" t="n">
        <v>0.54</v>
      </c>
      <c r="G521" s="10" t="n">
        <f aca="false">D521*(1-E521)</f>
        <v>161886.7725</v>
      </c>
      <c r="H521" s="10" t="n">
        <f aca="false">G521*F521</f>
        <v>87418.85715</v>
      </c>
      <c r="I521" s="10" t="n">
        <f aca="false">G521-H521</f>
        <v>74467.91535</v>
      </c>
      <c r="J521" s="8" t="n">
        <v>187365.5</v>
      </c>
      <c r="K521" s="9" t="n">
        <v>0.1084</v>
      </c>
      <c r="L521" s="9" t="n">
        <v>0.5332</v>
      </c>
      <c r="M521" s="10" t="n">
        <f aca="false">J521*(1-K521)</f>
        <v>167055.0798</v>
      </c>
      <c r="N521" s="10" t="n">
        <f aca="false">M521*L521</f>
        <v>89073.76854936</v>
      </c>
      <c r="O521" s="10" t="n">
        <f aca="false">M521-N521</f>
        <v>77981.31125064</v>
      </c>
      <c r="P521" s="10" t="n">
        <f aca="false">O521-I521</f>
        <v>3513.39590064</v>
      </c>
      <c r="Q521" s="10" t="n">
        <f aca="false">(J521-D521)*(1-E521)*(1-F521)</f>
        <v>2239.52035</v>
      </c>
      <c r="R521" s="10" t="n">
        <f aca="false">J521*(E521-K521)*(1-F521)</f>
        <v>137.901008</v>
      </c>
      <c r="S521" s="10" t="n">
        <f aca="false">M521*(F521-L521)</f>
        <v>1135.97454264</v>
      </c>
      <c r="T521" s="10" t="n">
        <f aca="false">ROUND(P521-(Q521+R521+S521),2)</f>
        <v>0</v>
      </c>
    </row>
    <row r="522" customFormat="false" ht="15" hidden="false" customHeight="true" outlineLevel="0" collapsed="false">
      <c r="A522" s="7" t="s">
        <v>59</v>
      </c>
      <c r="B522" s="7" t="s">
        <v>74</v>
      </c>
      <c r="C522" s="7" t="s">
        <v>69</v>
      </c>
      <c r="D522" s="8" t="n">
        <v>186933.16</v>
      </c>
      <c r="E522" s="9" t="n">
        <v>0.11</v>
      </c>
      <c r="F522" s="9" t="n">
        <v>0.54</v>
      </c>
      <c r="G522" s="10" t="n">
        <f aca="false">D522*(1-E522)</f>
        <v>166370.5124</v>
      </c>
      <c r="H522" s="10" t="n">
        <f aca="false">G522*F522</f>
        <v>89840.076696</v>
      </c>
      <c r="I522" s="10" t="n">
        <f aca="false">G522-H522</f>
        <v>76530.435704</v>
      </c>
      <c r="J522" s="8" t="n">
        <v>187868.58</v>
      </c>
      <c r="K522" s="9" t="n">
        <v>0.1054</v>
      </c>
      <c r="L522" s="9" t="n">
        <v>0.5513</v>
      </c>
      <c r="M522" s="10" t="n">
        <f aca="false">J522*(1-K522)</f>
        <v>168067.231668</v>
      </c>
      <c r="N522" s="10" t="n">
        <f aca="false">M522*L522</f>
        <v>92655.4648185684</v>
      </c>
      <c r="O522" s="10" t="n">
        <f aca="false">M522-N522</f>
        <v>75411.7668494316</v>
      </c>
      <c r="P522" s="10" t="n">
        <f aca="false">O522-I522</f>
        <v>-1118.66885456842</v>
      </c>
      <c r="Q522" s="10" t="n">
        <f aca="false">(J522-D522)*(1-E522)*(1-F522)</f>
        <v>382.960947999993</v>
      </c>
      <c r="R522" s="10" t="n">
        <f aca="false">J522*(E522-K522)*(1-F522)</f>
        <v>397.529915280001</v>
      </c>
      <c r="S522" s="10" t="n">
        <f aca="false">M522*(F522-L522)</f>
        <v>-1899.1597178484</v>
      </c>
      <c r="T522" s="10" t="n">
        <f aca="false">ROUND(P522-(Q522+R522+S522),2)</f>
        <v>-0</v>
      </c>
    </row>
    <row r="523" customFormat="false" ht="15" hidden="false" customHeight="true" outlineLevel="0" collapsed="false">
      <c r="A523" s="7" t="s">
        <v>60</v>
      </c>
      <c r="B523" s="7" t="s">
        <v>74</v>
      </c>
      <c r="C523" s="7" t="s">
        <v>69</v>
      </c>
      <c r="D523" s="8" t="n">
        <v>192024.11</v>
      </c>
      <c r="E523" s="9" t="n">
        <v>0.11</v>
      </c>
      <c r="F523" s="9" t="n">
        <v>0.54</v>
      </c>
      <c r="G523" s="10" t="n">
        <f aca="false">D523*(1-E523)</f>
        <v>170901.4579</v>
      </c>
      <c r="H523" s="10" t="n">
        <f aca="false">G523*F523</f>
        <v>92286.787266</v>
      </c>
      <c r="I523" s="10" t="n">
        <f aca="false">G523-H523</f>
        <v>78614.670634</v>
      </c>
      <c r="J523" s="8" t="n">
        <v>191955.76</v>
      </c>
      <c r="K523" s="9" t="n">
        <v>0.0974</v>
      </c>
      <c r="L523" s="9" t="n">
        <v>0.5459</v>
      </c>
      <c r="M523" s="10" t="n">
        <f aca="false">J523*(1-K523)</f>
        <v>173259.268976</v>
      </c>
      <c r="N523" s="10" t="n">
        <f aca="false">M523*L523</f>
        <v>94582.2349339984</v>
      </c>
      <c r="O523" s="10" t="n">
        <f aca="false">M523-N523</f>
        <v>78677.0340420016</v>
      </c>
      <c r="P523" s="10" t="n">
        <f aca="false">O523-I523</f>
        <v>62.3634080016054</v>
      </c>
      <c r="Q523" s="10" t="n">
        <f aca="false">(J523-D523)*(1-E523)*(1-F523)</f>
        <v>-27.9824899999905</v>
      </c>
      <c r="R523" s="10" t="n">
        <f aca="false">J523*(E523-K523)*(1-F523)</f>
        <v>1112.57558496</v>
      </c>
      <c r="S523" s="10" t="n">
        <f aca="false">M523*(F523-L523)</f>
        <v>-1022.2296869584</v>
      </c>
      <c r="T523" s="10" t="n">
        <f aca="false">ROUND(P523-(Q523+R523+S523),2)</f>
        <v>-0</v>
      </c>
    </row>
    <row r="524" customFormat="false" ht="15" hidden="false" customHeight="true" outlineLevel="0" collapsed="false">
      <c r="A524" s="7" t="s">
        <v>61</v>
      </c>
      <c r="B524" s="7" t="s">
        <v>74</v>
      </c>
      <c r="C524" s="7" t="s">
        <v>69</v>
      </c>
      <c r="D524" s="8" t="n">
        <v>189584.7</v>
      </c>
      <c r="E524" s="9" t="n">
        <v>0.11</v>
      </c>
      <c r="F524" s="9" t="n">
        <v>0.54</v>
      </c>
      <c r="G524" s="10" t="n">
        <f aca="false">D524*(1-E524)</f>
        <v>168730.383</v>
      </c>
      <c r="H524" s="10" t="n">
        <f aca="false">G524*F524</f>
        <v>91114.40682</v>
      </c>
      <c r="I524" s="10" t="n">
        <f aca="false">G524-H524</f>
        <v>77615.97618</v>
      </c>
      <c r="J524" s="8" t="n">
        <v>187721.58</v>
      </c>
      <c r="K524" s="9" t="n">
        <v>0.0959</v>
      </c>
      <c r="L524" s="9" t="n">
        <v>0.529</v>
      </c>
      <c r="M524" s="10" t="n">
        <f aca="false">J524*(1-K524)</f>
        <v>169719.080478</v>
      </c>
      <c r="N524" s="10" t="n">
        <f aca="false">M524*L524</f>
        <v>89781.393572862</v>
      </c>
      <c r="O524" s="10" t="n">
        <f aca="false">M524-N524</f>
        <v>79937.686905138</v>
      </c>
      <c r="P524" s="10" t="n">
        <f aca="false">O524-I524</f>
        <v>2321.71072513799</v>
      </c>
      <c r="Q524" s="10" t="n">
        <f aca="false">(J524-D524)*(1-E524)*(1-F524)</f>
        <v>-762.76132800001</v>
      </c>
      <c r="R524" s="10" t="n">
        <f aca="false">J524*(E524-K524)*(1-F524)</f>
        <v>1217.56216788</v>
      </c>
      <c r="S524" s="10" t="n">
        <f aca="false">M524*(F524-L524)</f>
        <v>1866.909885258</v>
      </c>
      <c r="T524" s="10" t="n">
        <f aca="false">ROUND(P524-(Q524+R524+S524),2)</f>
        <v>0</v>
      </c>
    </row>
    <row r="525" customFormat="false" ht="15" hidden="false" customHeight="true" outlineLevel="0" collapsed="false">
      <c r="A525" s="7" t="s">
        <v>62</v>
      </c>
      <c r="B525" s="7" t="s">
        <v>74</v>
      </c>
      <c r="C525" s="7" t="s">
        <v>69</v>
      </c>
      <c r="D525" s="8" t="n">
        <v>196637.78</v>
      </c>
      <c r="E525" s="9" t="n">
        <v>0.11</v>
      </c>
      <c r="F525" s="9" t="n">
        <v>0.54</v>
      </c>
      <c r="G525" s="10" t="n">
        <f aca="false">D525*(1-E525)</f>
        <v>175007.6242</v>
      </c>
      <c r="H525" s="10" t="n">
        <f aca="false">G525*F525</f>
        <v>94504.117068</v>
      </c>
      <c r="I525" s="10" t="n">
        <f aca="false">G525-H525</f>
        <v>80503.507132</v>
      </c>
      <c r="J525" s="8" t="n">
        <v>196425.64</v>
      </c>
      <c r="K525" s="9" t="n">
        <v>0.1228</v>
      </c>
      <c r="L525" s="9" t="n">
        <v>0.5182</v>
      </c>
      <c r="M525" s="10" t="n">
        <f aca="false">J525*(1-K525)</f>
        <v>172304.571408</v>
      </c>
      <c r="N525" s="10" t="n">
        <f aca="false">M525*L525</f>
        <v>89288.2289036256</v>
      </c>
      <c r="O525" s="10" t="n">
        <f aca="false">M525-N525</f>
        <v>83016.3425043744</v>
      </c>
      <c r="P525" s="10" t="n">
        <f aca="false">O525-I525</f>
        <v>2512.83537237442</v>
      </c>
      <c r="Q525" s="10" t="n">
        <f aca="false">(J525-D525)*(1-E525)*(1-F525)</f>
        <v>-86.8501159999938</v>
      </c>
      <c r="R525" s="10" t="n">
        <f aca="false">J525*(E525-K525)*(1-F525)</f>
        <v>-1156.55416832</v>
      </c>
      <c r="S525" s="10" t="n">
        <f aca="false">M525*(F525-L525)</f>
        <v>3756.23965669441</v>
      </c>
      <c r="T525" s="10" t="n">
        <f aca="false">ROUND(P525-(Q525+R525+S525),2)</f>
        <v>0</v>
      </c>
    </row>
    <row r="526" customFormat="false" ht="15" hidden="false" customHeight="true" outlineLevel="0" collapsed="false">
      <c r="A526" s="7" t="s">
        <v>63</v>
      </c>
      <c r="B526" s="7" t="s">
        <v>74</v>
      </c>
      <c r="C526" s="7" t="s">
        <v>69</v>
      </c>
      <c r="D526" s="8" t="n">
        <v>201848.04</v>
      </c>
      <c r="E526" s="9" t="n">
        <v>0.11</v>
      </c>
      <c r="F526" s="9" t="n">
        <v>0.54</v>
      </c>
      <c r="G526" s="10" t="n">
        <f aca="false">D526*(1-E526)</f>
        <v>179644.7556</v>
      </c>
      <c r="H526" s="10" t="n">
        <f aca="false">G526*F526</f>
        <v>97008.168024</v>
      </c>
      <c r="I526" s="10" t="n">
        <f aca="false">G526-H526</f>
        <v>82636.587576</v>
      </c>
      <c r="J526" s="8" t="n">
        <v>208143.9</v>
      </c>
      <c r="K526" s="9" t="n">
        <v>0.1199</v>
      </c>
      <c r="L526" s="9" t="n">
        <v>0.5426</v>
      </c>
      <c r="M526" s="10" t="n">
        <f aca="false">J526*(1-K526)</f>
        <v>183187.44639</v>
      </c>
      <c r="N526" s="10" t="n">
        <f aca="false">M526*L526</f>
        <v>99397.508411214</v>
      </c>
      <c r="O526" s="10" t="n">
        <f aca="false">M526-N526</f>
        <v>83789.937978786</v>
      </c>
      <c r="P526" s="10" t="n">
        <f aca="false">O526-I526</f>
        <v>1153.35040278602</v>
      </c>
      <c r="Q526" s="10" t="n">
        <f aca="false">(J526-D526)*(1-E526)*(1-F526)</f>
        <v>2577.52508399999</v>
      </c>
      <c r="R526" s="10" t="n">
        <f aca="false">J526*(E526-K526)*(1-F526)</f>
        <v>-947.887320600001</v>
      </c>
      <c r="S526" s="10" t="n">
        <f aca="false">M526*(F526-L526)</f>
        <v>-476.287360613988</v>
      </c>
      <c r="T526" s="10" t="n">
        <f aca="false">ROUND(P526-(Q526+R526+S526),2)</f>
        <v>0</v>
      </c>
    </row>
    <row r="527" customFormat="false" ht="15" hidden="false" customHeight="true" outlineLevel="0" collapsed="false">
      <c r="A527" s="7" t="s">
        <v>64</v>
      </c>
      <c r="B527" s="7" t="s">
        <v>74</v>
      </c>
      <c r="C527" s="7" t="s">
        <v>69</v>
      </c>
      <c r="D527" s="8" t="n">
        <v>212918.2</v>
      </c>
      <c r="E527" s="9" t="n">
        <v>0.11</v>
      </c>
      <c r="F527" s="9" t="n">
        <v>0.54</v>
      </c>
      <c r="G527" s="10" t="n">
        <f aca="false">D527*(1-E527)</f>
        <v>189497.198</v>
      </c>
      <c r="H527" s="10" t="n">
        <f aca="false">G527*F527</f>
        <v>102328.48692</v>
      </c>
      <c r="I527" s="10" t="n">
        <f aca="false">G527-H527</f>
        <v>87168.71108</v>
      </c>
      <c r="J527" s="8" t="n">
        <v>202521.17</v>
      </c>
      <c r="K527" s="9" t="n">
        <v>0.1056</v>
      </c>
      <c r="L527" s="9" t="n">
        <v>0.5273</v>
      </c>
      <c r="M527" s="10" t="n">
        <f aca="false">J527*(1-K527)</f>
        <v>181134.934448</v>
      </c>
      <c r="N527" s="10" t="n">
        <f aca="false">M527*L527</f>
        <v>95512.4509344304</v>
      </c>
      <c r="O527" s="10" t="n">
        <f aca="false">M527-N527</f>
        <v>85622.4835135696</v>
      </c>
      <c r="P527" s="10" t="n">
        <f aca="false">O527-I527</f>
        <v>-1546.22756643039</v>
      </c>
      <c r="Q527" s="10" t="n">
        <f aca="false">(J527-D527)*(1-E527)*(1-F527)</f>
        <v>-4256.544082</v>
      </c>
      <c r="R527" s="10" t="n">
        <f aca="false">J527*(E527-K527)*(1-F527)</f>
        <v>409.90284808</v>
      </c>
      <c r="S527" s="10" t="n">
        <f aca="false">M527*(F527-L527)</f>
        <v>2300.41366748961</v>
      </c>
      <c r="T527" s="10" t="n">
        <f aca="false">ROUND(P527-(Q527+R527+S527),2)</f>
        <v>0</v>
      </c>
    </row>
    <row r="528" customFormat="false" ht="15" hidden="false" customHeight="true" outlineLevel="0" collapsed="false">
      <c r="A528" s="7" t="s">
        <v>65</v>
      </c>
      <c r="B528" s="7" t="s">
        <v>74</v>
      </c>
      <c r="C528" s="7" t="s">
        <v>69</v>
      </c>
      <c r="D528" s="8" t="n">
        <v>253354.1</v>
      </c>
      <c r="E528" s="9" t="n">
        <v>0.11</v>
      </c>
      <c r="F528" s="9" t="n">
        <v>0.54</v>
      </c>
      <c r="G528" s="10" t="n">
        <f aca="false">D528*(1-E528)</f>
        <v>225485.149</v>
      </c>
      <c r="H528" s="10" t="n">
        <f aca="false">G528*F528</f>
        <v>121761.98046</v>
      </c>
      <c r="I528" s="10" t="n">
        <f aca="false">G528-H528</f>
        <v>103723.16854</v>
      </c>
      <c r="J528" s="8" t="n">
        <v>249933.79</v>
      </c>
      <c r="K528" s="9" t="n">
        <v>0.1158</v>
      </c>
      <c r="L528" s="9" t="n">
        <v>0.5373</v>
      </c>
      <c r="M528" s="10" t="n">
        <f aca="false">J528*(1-K528)</f>
        <v>220991.457118</v>
      </c>
      <c r="N528" s="10" t="n">
        <f aca="false">M528*L528</f>
        <v>118738.709909501</v>
      </c>
      <c r="O528" s="10" t="n">
        <f aca="false">M528-N528</f>
        <v>102252.747208499</v>
      </c>
      <c r="P528" s="10" t="n">
        <f aca="false">O528-I528</f>
        <v>-1470.42133150141</v>
      </c>
      <c r="Q528" s="10" t="n">
        <f aca="false">(J528-D528)*(1-E528)*(1-F528)</f>
        <v>-1400.274914</v>
      </c>
      <c r="R528" s="10" t="n">
        <f aca="false">J528*(E528-K528)*(1-F528)</f>
        <v>-666.82335172</v>
      </c>
      <c r="S528" s="10" t="n">
        <f aca="false">M528*(F528-L528)</f>
        <v>596.676934218608</v>
      </c>
      <c r="T528" s="10" t="n">
        <f aca="false">ROUND(P528-(Q528+R528+S528),2)</f>
        <v>-0</v>
      </c>
    </row>
    <row r="529" customFormat="false" ht="15" hidden="false" customHeight="true" outlineLevel="0" collapsed="false">
      <c r="A529" s="7" t="s">
        <v>66</v>
      </c>
      <c r="B529" s="7" t="s">
        <v>74</v>
      </c>
      <c r="C529" s="7" t="s">
        <v>69</v>
      </c>
      <c r="D529" s="8" t="n">
        <v>239380.51</v>
      </c>
      <c r="E529" s="9" t="n">
        <v>0.11</v>
      </c>
      <c r="F529" s="9" t="n">
        <v>0.54</v>
      </c>
      <c r="G529" s="10" t="n">
        <f aca="false">D529*(1-E529)</f>
        <v>213048.6539</v>
      </c>
      <c r="H529" s="10" t="n">
        <f aca="false">G529*F529</f>
        <v>115046.273106</v>
      </c>
      <c r="I529" s="10" t="n">
        <f aca="false">G529-H529</f>
        <v>98002.380794</v>
      </c>
      <c r="J529" s="8" t="n">
        <v>230544.62</v>
      </c>
      <c r="K529" s="9" t="n">
        <v>0.1123</v>
      </c>
      <c r="L529" s="9" t="n">
        <v>0.5426</v>
      </c>
      <c r="M529" s="10" t="n">
        <f aca="false">J529*(1-K529)</f>
        <v>204654.459174</v>
      </c>
      <c r="N529" s="10" t="n">
        <f aca="false">M529*L529</f>
        <v>111045.509547812</v>
      </c>
      <c r="O529" s="10" t="n">
        <f aca="false">M529-N529</f>
        <v>93608.9496261876</v>
      </c>
      <c r="P529" s="10" t="n">
        <f aca="false">O529-I529</f>
        <v>-4393.43116781238</v>
      </c>
      <c r="Q529" s="10" t="n">
        <f aca="false">(J529-D529)*(1-E529)*(1-F529)</f>
        <v>-3617.41336600001</v>
      </c>
      <c r="R529" s="10" t="n">
        <f aca="false">J529*(E529-K529)*(1-F529)</f>
        <v>-243.91620796</v>
      </c>
      <c r="S529" s="10" t="n">
        <f aca="false">M529*(F529-L529)</f>
        <v>-532.101593852387</v>
      </c>
      <c r="T529" s="10" t="n">
        <f aca="false">ROUND(P529-(Q529+R529+S529),2)</f>
        <v>0</v>
      </c>
    </row>
    <row r="530" customFormat="false" ht="15" hidden="false" customHeight="true" outlineLevel="0" collapsed="false">
      <c r="A530" s="7" t="s">
        <v>41</v>
      </c>
      <c r="B530" s="7" t="s">
        <v>74</v>
      </c>
      <c r="C530" s="7" t="s">
        <v>70</v>
      </c>
      <c r="D530" s="8" t="n">
        <v>111292.44</v>
      </c>
      <c r="E530" s="9" t="n">
        <v>0.13</v>
      </c>
      <c r="F530" s="9" t="n">
        <v>0.6</v>
      </c>
      <c r="G530" s="10" t="n">
        <f aca="false">D530*(1-E530)</f>
        <v>96824.4228</v>
      </c>
      <c r="H530" s="10" t="n">
        <f aca="false">G530*F530</f>
        <v>58094.65368</v>
      </c>
      <c r="I530" s="10" t="n">
        <f aca="false">G530-H530</f>
        <v>38729.76912</v>
      </c>
      <c r="J530" s="8" t="n">
        <v>111631.15</v>
      </c>
      <c r="K530" s="9" t="n">
        <v>0.122</v>
      </c>
      <c r="L530" s="9" t="n">
        <v>0.5987</v>
      </c>
      <c r="M530" s="10" t="n">
        <f aca="false">J530*(1-K530)</f>
        <v>98012.1497</v>
      </c>
      <c r="N530" s="10" t="n">
        <f aca="false">M530*L530</f>
        <v>58679.87402539</v>
      </c>
      <c r="O530" s="10" t="n">
        <f aca="false">M530-N530</f>
        <v>39332.27567461</v>
      </c>
      <c r="P530" s="10" t="n">
        <f aca="false">O530-I530</f>
        <v>602.506554609994</v>
      </c>
      <c r="Q530" s="10" t="n">
        <f aca="false">(J530-D530)*(1-E530)*(1-F530)</f>
        <v>117.871079999997</v>
      </c>
      <c r="R530" s="10" t="n">
        <f aca="false">J530*(E530-K530)*(1-F530)</f>
        <v>357.21968</v>
      </c>
      <c r="S530" s="10" t="n">
        <f aca="false">M530*(F530-L530)</f>
        <v>127.415794609997</v>
      </c>
      <c r="T530" s="10" t="n">
        <f aca="false">ROUND(P530-(Q530+R530+S530),2)</f>
        <v>0</v>
      </c>
    </row>
    <row r="531" customFormat="false" ht="15" hidden="false" customHeight="true" outlineLevel="0" collapsed="false">
      <c r="A531" s="7" t="s">
        <v>44</v>
      </c>
      <c r="B531" s="7" t="s">
        <v>74</v>
      </c>
      <c r="C531" s="7" t="s">
        <v>70</v>
      </c>
      <c r="D531" s="8" t="n">
        <v>109689.82</v>
      </c>
      <c r="E531" s="9" t="n">
        <v>0.13</v>
      </c>
      <c r="F531" s="9" t="n">
        <v>0.6</v>
      </c>
      <c r="G531" s="10" t="n">
        <f aca="false">D531*(1-E531)</f>
        <v>95430.1434</v>
      </c>
      <c r="H531" s="10" t="n">
        <f aca="false">G531*F531</f>
        <v>57258.08604</v>
      </c>
      <c r="I531" s="10" t="n">
        <f aca="false">G531-H531</f>
        <v>38172.05736</v>
      </c>
      <c r="J531" s="8" t="n">
        <v>112711.7</v>
      </c>
      <c r="K531" s="9" t="n">
        <v>0.127</v>
      </c>
      <c r="L531" s="9" t="n">
        <v>0.5952</v>
      </c>
      <c r="M531" s="10" t="n">
        <f aca="false">J531*(1-K531)</f>
        <v>98397.3141</v>
      </c>
      <c r="N531" s="10" t="n">
        <f aca="false">M531*L531</f>
        <v>58566.08135232</v>
      </c>
      <c r="O531" s="10" t="n">
        <f aca="false">M531-N531</f>
        <v>39831.23274768</v>
      </c>
      <c r="P531" s="10" t="n">
        <f aca="false">O531-I531</f>
        <v>1659.17538768001</v>
      </c>
      <c r="Q531" s="10" t="n">
        <f aca="false">(J531-D531)*(1-E531)*(1-F531)</f>
        <v>1051.61424</v>
      </c>
      <c r="R531" s="10" t="n">
        <f aca="false">J531*(E531-K531)*(1-F531)</f>
        <v>135.25404</v>
      </c>
      <c r="S531" s="10" t="n">
        <f aca="false">M531*(F531-L531)</f>
        <v>472.307107680003</v>
      </c>
      <c r="T531" s="10" t="n">
        <f aca="false">ROUND(P531-(Q531+R531+S531),2)</f>
        <v>0</v>
      </c>
    </row>
    <row r="532" customFormat="false" ht="15" hidden="false" customHeight="true" outlineLevel="0" collapsed="false">
      <c r="A532" s="7" t="s">
        <v>45</v>
      </c>
      <c r="B532" s="7" t="s">
        <v>74</v>
      </c>
      <c r="C532" s="7" t="s">
        <v>70</v>
      </c>
      <c r="D532" s="8" t="n">
        <v>119354.95</v>
      </c>
      <c r="E532" s="9" t="n">
        <v>0.13</v>
      </c>
      <c r="F532" s="9" t="n">
        <v>0.6</v>
      </c>
      <c r="G532" s="10" t="n">
        <f aca="false">D532*(1-E532)</f>
        <v>103838.8065</v>
      </c>
      <c r="H532" s="10" t="n">
        <f aca="false">G532*F532</f>
        <v>62303.2839</v>
      </c>
      <c r="I532" s="10" t="n">
        <f aca="false">G532-H532</f>
        <v>41535.5226</v>
      </c>
      <c r="J532" s="8" t="n">
        <v>111270.67</v>
      </c>
      <c r="K532" s="9" t="n">
        <v>0.1441</v>
      </c>
      <c r="L532" s="9" t="n">
        <v>0.5995</v>
      </c>
      <c r="M532" s="10" t="n">
        <f aca="false">J532*(1-K532)</f>
        <v>95236.566453</v>
      </c>
      <c r="N532" s="10" t="n">
        <f aca="false">M532*L532</f>
        <v>57094.3215885735</v>
      </c>
      <c r="O532" s="10" t="n">
        <f aca="false">M532-N532</f>
        <v>38142.2448644265</v>
      </c>
      <c r="P532" s="10" t="n">
        <f aca="false">O532-I532</f>
        <v>-3393.2777355735</v>
      </c>
      <c r="Q532" s="10" t="n">
        <f aca="false">(J532-D532)*(1-E532)*(1-F532)</f>
        <v>-2813.32944</v>
      </c>
      <c r="R532" s="10" t="n">
        <f aca="false">J532*(E532-K532)*(1-F532)</f>
        <v>-627.5665788</v>
      </c>
      <c r="S532" s="10" t="n">
        <f aca="false">M532*(F532-L532)</f>
        <v>47.6182832264948</v>
      </c>
      <c r="T532" s="10" t="n">
        <f aca="false">ROUND(P532-(Q532+R532+S532),2)</f>
        <v>0</v>
      </c>
    </row>
    <row r="533" customFormat="false" ht="15" hidden="false" customHeight="true" outlineLevel="0" collapsed="false">
      <c r="A533" s="7" t="s">
        <v>46</v>
      </c>
      <c r="B533" s="7" t="s">
        <v>74</v>
      </c>
      <c r="C533" s="7" t="s">
        <v>70</v>
      </c>
      <c r="D533" s="8" t="n">
        <v>124093.54</v>
      </c>
      <c r="E533" s="9" t="n">
        <v>0.13</v>
      </c>
      <c r="F533" s="9" t="n">
        <v>0.6</v>
      </c>
      <c r="G533" s="10" t="n">
        <f aca="false">D533*(1-E533)</f>
        <v>107961.3798</v>
      </c>
      <c r="H533" s="10" t="n">
        <f aca="false">G533*F533</f>
        <v>64776.82788</v>
      </c>
      <c r="I533" s="10" t="n">
        <f aca="false">G533-H533</f>
        <v>43184.55192</v>
      </c>
      <c r="J533" s="8" t="n">
        <v>133286.23</v>
      </c>
      <c r="K533" s="9" t="n">
        <v>0.1314</v>
      </c>
      <c r="L533" s="9" t="n">
        <v>0.5843</v>
      </c>
      <c r="M533" s="10" t="n">
        <f aca="false">J533*(1-K533)</f>
        <v>115772.419378</v>
      </c>
      <c r="N533" s="10" t="n">
        <f aca="false">M533*L533</f>
        <v>67645.8246425654</v>
      </c>
      <c r="O533" s="10" t="n">
        <f aca="false">M533-N533</f>
        <v>48126.5947354346</v>
      </c>
      <c r="P533" s="10" t="n">
        <f aca="false">O533-I533</f>
        <v>4942.0428154346</v>
      </c>
      <c r="Q533" s="10" t="n">
        <f aca="false">(J533-D533)*(1-E533)*(1-F533)</f>
        <v>3199.05612000001</v>
      </c>
      <c r="R533" s="10" t="n">
        <f aca="false">J533*(E533-K533)*(1-F533)</f>
        <v>-74.6402887999992</v>
      </c>
      <c r="S533" s="10" t="n">
        <f aca="false">M533*(F533-L533)</f>
        <v>1817.62698423459</v>
      </c>
      <c r="T533" s="10" t="n">
        <f aca="false">ROUND(P533-(Q533+R533+S533),2)</f>
        <v>0</v>
      </c>
    </row>
    <row r="534" customFormat="false" ht="15" hidden="false" customHeight="true" outlineLevel="0" collapsed="false">
      <c r="A534" s="7" t="s">
        <v>47</v>
      </c>
      <c r="B534" s="7" t="s">
        <v>74</v>
      </c>
      <c r="C534" s="7" t="s">
        <v>70</v>
      </c>
      <c r="D534" s="8" t="n">
        <v>127615.33</v>
      </c>
      <c r="E534" s="9" t="n">
        <v>0.13</v>
      </c>
      <c r="F534" s="9" t="n">
        <v>0.6</v>
      </c>
      <c r="G534" s="10" t="n">
        <f aca="false">D534*(1-E534)</f>
        <v>111025.3371</v>
      </c>
      <c r="H534" s="10" t="n">
        <f aca="false">G534*F534</f>
        <v>66615.20226</v>
      </c>
      <c r="I534" s="10" t="n">
        <f aca="false">G534-H534</f>
        <v>44410.13484</v>
      </c>
      <c r="J534" s="8" t="n">
        <v>116379.59</v>
      </c>
      <c r="K534" s="9" t="n">
        <v>0.1398</v>
      </c>
      <c r="L534" s="9" t="n">
        <v>0.5955</v>
      </c>
      <c r="M534" s="10" t="n">
        <f aca="false">J534*(1-K534)</f>
        <v>100109.723318</v>
      </c>
      <c r="N534" s="10" t="n">
        <f aca="false">M534*L534</f>
        <v>59615.340235869</v>
      </c>
      <c r="O534" s="10" t="n">
        <f aca="false">M534-N534</f>
        <v>40494.383082131</v>
      </c>
      <c r="P534" s="10" t="n">
        <f aca="false">O534-I534</f>
        <v>-3915.75175786901</v>
      </c>
      <c r="Q534" s="10" t="n">
        <f aca="false">(J534-D534)*(1-E534)*(1-F534)</f>
        <v>-3910.03752</v>
      </c>
      <c r="R534" s="10" t="n">
        <f aca="false">J534*(E534-K534)*(1-F534)</f>
        <v>-456.2079928</v>
      </c>
      <c r="S534" s="10" t="n">
        <f aca="false">M534*(F534-L534)</f>
        <v>450.493754930995</v>
      </c>
      <c r="T534" s="10" t="n">
        <f aca="false">ROUND(P534-(Q534+R534+S534),2)</f>
        <v>0</v>
      </c>
    </row>
    <row r="535" customFormat="false" ht="15" hidden="false" customHeight="true" outlineLevel="0" collapsed="false">
      <c r="A535" s="7" t="s">
        <v>48</v>
      </c>
      <c r="B535" s="7" t="s">
        <v>74</v>
      </c>
      <c r="C535" s="7" t="s">
        <v>70</v>
      </c>
      <c r="D535" s="8" t="n">
        <v>131176.68</v>
      </c>
      <c r="E535" s="9" t="n">
        <v>0.13</v>
      </c>
      <c r="F535" s="9" t="n">
        <v>0.6</v>
      </c>
      <c r="G535" s="10" t="n">
        <f aca="false">D535*(1-E535)</f>
        <v>114123.7116</v>
      </c>
      <c r="H535" s="10" t="n">
        <f aca="false">G535*F535</f>
        <v>68474.22696</v>
      </c>
      <c r="I535" s="10" t="n">
        <f aca="false">G535-H535</f>
        <v>45649.48464</v>
      </c>
      <c r="J535" s="8" t="n">
        <v>121618.44</v>
      </c>
      <c r="K535" s="9" t="n">
        <v>0.131</v>
      </c>
      <c r="L535" s="9" t="n">
        <v>0.6034</v>
      </c>
      <c r="M535" s="10" t="n">
        <f aca="false">J535*(1-K535)</f>
        <v>105686.42436</v>
      </c>
      <c r="N535" s="10" t="n">
        <f aca="false">M535*L535</f>
        <v>63771.188458824</v>
      </c>
      <c r="O535" s="10" t="n">
        <f aca="false">M535-N535</f>
        <v>41915.235901176</v>
      </c>
      <c r="P535" s="10" t="n">
        <f aca="false">O535-I535</f>
        <v>-3734.248738824</v>
      </c>
      <c r="Q535" s="10" t="n">
        <f aca="false">(J535-D535)*(1-E535)*(1-F535)</f>
        <v>-3326.26752</v>
      </c>
      <c r="R535" s="10" t="n">
        <f aca="false">J535*(E535-K535)*(1-F535)</f>
        <v>-48.647376</v>
      </c>
      <c r="S535" s="10" t="n">
        <f aca="false">M535*(F535-L535)</f>
        <v>-359.333842824007</v>
      </c>
      <c r="T535" s="10" t="n">
        <f aca="false">ROUND(P535-(Q535+R535+S535),2)</f>
        <v>0</v>
      </c>
    </row>
    <row r="536" customFormat="false" ht="15" hidden="false" customHeight="true" outlineLevel="0" collapsed="false">
      <c r="A536" s="7" t="s">
        <v>49</v>
      </c>
      <c r="B536" s="7" t="s">
        <v>74</v>
      </c>
      <c r="C536" s="7" t="s">
        <v>70</v>
      </c>
      <c r="D536" s="8" t="n">
        <v>129593.86</v>
      </c>
      <c r="E536" s="9" t="n">
        <v>0.13</v>
      </c>
      <c r="F536" s="9" t="n">
        <v>0.6</v>
      </c>
      <c r="G536" s="10" t="n">
        <f aca="false">D536*(1-E536)</f>
        <v>112746.6582</v>
      </c>
      <c r="H536" s="10" t="n">
        <f aca="false">G536*F536</f>
        <v>67647.99492</v>
      </c>
      <c r="I536" s="10" t="n">
        <f aca="false">G536-H536</f>
        <v>45098.66328</v>
      </c>
      <c r="J536" s="8" t="n">
        <v>117945.55</v>
      </c>
      <c r="K536" s="9" t="n">
        <v>0.1226</v>
      </c>
      <c r="L536" s="9" t="n">
        <v>0.6045</v>
      </c>
      <c r="M536" s="10" t="n">
        <f aca="false">J536*(1-K536)</f>
        <v>103485.42557</v>
      </c>
      <c r="N536" s="10" t="n">
        <f aca="false">M536*L536</f>
        <v>62556.939757065</v>
      </c>
      <c r="O536" s="10" t="n">
        <f aca="false">M536-N536</f>
        <v>40928.485812935</v>
      </c>
      <c r="P536" s="10" t="n">
        <f aca="false">O536-I536</f>
        <v>-4170.17746706501</v>
      </c>
      <c r="Q536" s="10" t="n">
        <f aca="false">(J536-D536)*(1-E536)*(1-F536)</f>
        <v>-4053.61188</v>
      </c>
      <c r="R536" s="10" t="n">
        <f aca="false">J536*(E536-K536)*(1-F536)</f>
        <v>349.118828</v>
      </c>
      <c r="S536" s="10" t="n">
        <f aca="false">M536*(F536-L536)</f>
        <v>-465.684415065006</v>
      </c>
      <c r="T536" s="10" t="n">
        <f aca="false">ROUND(P536-(Q536+R536+S536),2)</f>
        <v>0</v>
      </c>
    </row>
    <row r="537" customFormat="false" ht="15" hidden="false" customHeight="true" outlineLevel="0" collapsed="false">
      <c r="A537" s="7" t="s">
        <v>50</v>
      </c>
      <c r="B537" s="7" t="s">
        <v>74</v>
      </c>
      <c r="C537" s="7" t="s">
        <v>70</v>
      </c>
      <c r="D537" s="8" t="n">
        <v>134500.62</v>
      </c>
      <c r="E537" s="9" t="n">
        <v>0.13</v>
      </c>
      <c r="F537" s="9" t="n">
        <v>0.6</v>
      </c>
      <c r="G537" s="10" t="n">
        <f aca="false">D537*(1-E537)</f>
        <v>117015.5394</v>
      </c>
      <c r="H537" s="10" t="n">
        <f aca="false">G537*F537</f>
        <v>70209.32364</v>
      </c>
      <c r="I537" s="10" t="n">
        <f aca="false">G537-H537</f>
        <v>46806.21576</v>
      </c>
      <c r="J537" s="8" t="n">
        <v>140763.64</v>
      </c>
      <c r="K537" s="9" t="n">
        <v>0.1355</v>
      </c>
      <c r="L537" s="9" t="n">
        <v>0.5999</v>
      </c>
      <c r="M537" s="10" t="n">
        <f aca="false">J537*(1-K537)</f>
        <v>121690.16678</v>
      </c>
      <c r="N537" s="10" t="n">
        <f aca="false">M537*L537</f>
        <v>73001.931051322</v>
      </c>
      <c r="O537" s="10" t="n">
        <f aca="false">M537-N537</f>
        <v>48688.235728678</v>
      </c>
      <c r="P537" s="10" t="n">
        <f aca="false">O537-I537</f>
        <v>1882.019968678</v>
      </c>
      <c r="Q537" s="10" t="n">
        <f aca="false">(J537-D537)*(1-E537)*(1-F537)</f>
        <v>2179.53096000001</v>
      </c>
      <c r="R537" s="10" t="n">
        <f aca="false">J537*(E537-K537)*(1-F537)</f>
        <v>-309.680008</v>
      </c>
      <c r="S537" s="10" t="n">
        <f aca="false">M537*(F537-L537)</f>
        <v>12.1690166779987</v>
      </c>
      <c r="T537" s="10" t="n">
        <f aca="false">ROUND(P537-(Q537+R537+S537),2)</f>
        <v>-0</v>
      </c>
    </row>
    <row r="538" customFormat="false" ht="15" hidden="false" customHeight="true" outlineLevel="0" collapsed="false">
      <c r="A538" s="7" t="s">
        <v>51</v>
      </c>
      <c r="B538" s="7" t="s">
        <v>74</v>
      </c>
      <c r="C538" s="7" t="s">
        <v>70</v>
      </c>
      <c r="D538" s="8" t="n">
        <v>138151.01</v>
      </c>
      <c r="E538" s="9" t="n">
        <v>0.13</v>
      </c>
      <c r="F538" s="9" t="n">
        <v>0.6</v>
      </c>
      <c r="G538" s="10" t="n">
        <f aca="false">D538*(1-E538)</f>
        <v>120191.3787</v>
      </c>
      <c r="H538" s="10" t="n">
        <f aca="false">G538*F538</f>
        <v>72114.82722</v>
      </c>
      <c r="I538" s="10" t="n">
        <f aca="false">G538-H538</f>
        <v>48076.55148</v>
      </c>
      <c r="J538" s="8" t="n">
        <v>134739.5</v>
      </c>
      <c r="K538" s="9" t="n">
        <v>0.1304</v>
      </c>
      <c r="L538" s="9" t="n">
        <v>0.6027</v>
      </c>
      <c r="M538" s="10" t="n">
        <f aca="false">J538*(1-K538)</f>
        <v>117169.4692</v>
      </c>
      <c r="N538" s="10" t="n">
        <f aca="false">M538*L538</f>
        <v>70618.03908684</v>
      </c>
      <c r="O538" s="10" t="n">
        <f aca="false">M538-N538</f>
        <v>46551.43011316</v>
      </c>
      <c r="P538" s="10" t="n">
        <f aca="false">O538-I538</f>
        <v>-1525.12136684</v>
      </c>
      <c r="Q538" s="10" t="n">
        <f aca="false">(J538-D538)*(1-E538)*(1-F538)</f>
        <v>-1187.20548</v>
      </c>
      <c r="R538" s="10" t="n">
        <f aca="false">J538*(E538-K538)*(1-F538)</f>
        <v>-21.5583199999991</v>
      </c>
      <c r="S538" s="10" t="n">
        <f aca="false">M538*(F538-L538)</f>
        <v>-316.357566840004</v>
      </c>
      <c r="T538" s="10" t="n">
        <f aca="false">ROUND(P538-(Q538+R538+S538),2)</f>
        <v>0</v>
      </c>
    </row>
    <row r="539" customFormat="false" ht="15" hidden="false" customHeight="true" outlineLevel="0" collapsed="false">
      <c r="A539" s="7" t="s">
        <v>52</v>
      </c>
      <c r="B539" s="7" t="s">
        <v>74</v>
      </c>
      <c r="C539" s="7" t="s">
        <v>70</v>
      </c>
      <c r="D539" s="8" t="n">
        <v>145817.82</v>
      </c>
      <c r="E539" s="9" t="n">
        <v>0.13</v>
      </c>
      <c r="F539" s="9" t="n">
        <v>0.6</v>
      </c>
      <c r="G539" s="10" t="n">
        <f aca="false">D539*(1-E539)</f>
        <v>126861.5034</v>
      </c>
      <c r="H539" s="10" t="n">
        <f aca="false">G539*F539</f>
        <v>76116.90204</v>
      </c>
      <c r="I539" s="10" t="n">
        <f aca="false">G539-H539</f>
        <v>50744.60136</v>
      </c>
      <c r="J539" s="8" t="n">
        <v>159045.93</v>
      </c>
      <c r="K539" s="9" t="n">
        <v>0.1415</v>
      </c>
      <c r="L539" s="9" t="n">
        <v>0.6023</v>
      </c>
      <c r="M539" s="10" t="n">
        <f aca="false">J539*(1-K539)</f>
        <v>136540.930905</v>
      </c>
      <c r="N539" s="10" t="n">
        <f aca="false">M539*L539</f>
        <v>82238.6026840815</v>
      </c>
      <c r="O539" s="10" t="n">
        <f aca="false">M539-N539</f>
        <v>54302.3282209185</v>
      </c>
      <c r="P539" s="10" t="n">
        <f aca="false">O539-I539</f>
        <v>3557.7268609185</v>
      </c>
      <c r="Q539" s="10" t="n">
        <f aca="false">(J539-D539)*(1-E539)*(1-F539)</f>
        <v>4603.38228</v>
      </c>
      <c r="R539" s="10" t="n">
        <f aca="false">J539*(E539-K539)*(1-F539)</f>
        <v>-731.611277999999</v>
      </c>
      <c r="S539" s="10" t="n">
        <f aca="false">M539*(F539-L539)</f>
        <v>-314.044141081496</v>
      </c>
      <c r="T539" s="10" t="n">
        <f aca="false">ROUND(P539-(Q539+R539+S539),2)</f>
        <v>0</v>
      </c>
    </row>
    <row r="540" customFormat="false" ht="15" hidden="false" customHeight="true" outlineLevel="0" collapsed="false">
      <c r="A540" s="7" t="s">
        <v>53</v>
      </c>
      <c r="B540" s="7" t="s">
        <v>74</v>
      </c>
      <c r="C540" s="7" t="s">
        <v>70</v>
      </c>
      <c r="D540" s="8" t="n">
        <v>173616.2</v>
      </c>
      <c r="E540" s="9" t="n">
        <v>0.13</v>
      </c>
      <c r="F540" s="9" t="n">
        <v>0.6</v>
      </c>
      <c r="G540" s="10" t="n">
        <f aca="false">D540*(1-E540)</f>
        <v>151046.094</v>
      </c>
      <c r="H540" s="10" t="n">
        <f aca="false">G540*F540</f>
        <v>90627.6564</v>
      </c>
      <c r="I540" s="10" t="n">
        <f aca="false">G540-H540</f>
        <v>60418.4376</v>
      </c>
      <c r="J540" s="8" t="n">
        <v>171393.93</v>
      </c>
      <c r="K540" s="9" t="n">
        <v>0.1281</v>
      </c>
      <c r="L540" s="9" t="n">
        <v>0.5954</v>
      </c>
      <c r="M540" s="10" t="n">
        <f aca="false">J540*(1-K540)</f>
        <v>149438.367567</v>
      </c>
      <c r="N540" s="10" t="n">
        <f aca="false">M540*L540</f>
        <v>88975.6040493918</v>
      </c>
      <c r="O540" s="10" t="n">
        <f aca="false">M540-N540</f>
        <v>60462.7635176082</v>
      </c>
      <c r="P540" s="10" t="n">
        <f aca="false">O540-I540</f>
        <v>44.325917608192</v>
      </c>
      <c r="Q540" s="10" t="n">
        <f aca="false">(J540-D540)*(1-E540)*(1-F540)</f>
        <v>-773.349960000007</v>
      </c>
      <c r="R540" s="10" t="n">
        <f aca="false">J540*(E540-K540)*(1-F540)</f>
        <v>130.259386800001</v>
      </c>
      <c r="S540" s="10" t="n">
        <f aca="false">M540*(F540-L540)</f>
        <v>687.416490808191</v>
      </c>
      <c r="T540" s="10" t="n">
        <f aca="false">ROUND(P540-(Q540+R540+S540),2)</f>
        <v>0</v>
      </c>
    </row>
    <row r="541" customFormat="false" ht="15" hidden="false" customHeight="true" outlineLevel="0" collapsed="false">
      <c r="A541" s="7" t="s">
        <v>54</v>
      </c>
      <c r="B541" s="7" t="s">
        <v>74</v>
      </c>
      <c r="C541" s="7" t="s">
        <v>70</v>
      </c>
      <c r="D541" s="8" t="n">
        <v>164139.03</v>
      </c>
      <c r="E541" s="9" t="n">
        <v>0.13</v>
      </c>
      <c r="F541" s="9" t="n">
        <v>0.6</v>
      </c>
      <c r="G541" s="10" t="n">
        <f aca="false">D541*(1-E541)</f>
        <v>142800.9561</v>
      </c>
      <c r="H541" s="10" t="n">
        <f aca="false">G541*F541</f>
        <v>85680.57366</v>
      </c>
      <c r="I541" s="10" t="n">
        <f aca="false">G541-H541</f>
        <v>57120.38244</v>
      </c>
      <c r="J541" s="8" t="n">
        <v>172995.16</v>
      </c>
      <c r="K541" s="9" t="n">
        <v>0.1462</v>
      </c>
      <c r="L541" s="9" t="n">
        <v>0.5928</v>
      </c>
      <c r="M541" s="10" t="n">
        <f aca="false">J541*(1-K541)</f>
        <v>147703.267608</v>
      </c>
      <c r="N541" s="10" t="n">
        <f aca="false">M541*L541</f>
        <v>87558.4970380224</v>
      </c>
      <c r="O541" s="10" t="n">
        <f aca="false">M541-N541</f>
        <v>60144.7705699776</v>
      </c>
      <c r="P541" s="10" t="n">
        <f aca="false">O541-I541</f>
        <v>3024.3881299776</v>
      </c>
      <c r="Q541" s="10" t="n">
        <f aca="false">(J541-D541)*(1-E541)*(1-F541)</f>
        <v>3081.93324</v>
      </c>
      <c r="R541" s="10" t="n">
        <f aca="false">J541*(E541-K541)*(1-F541)</f>
        <v>-1121.0086368</v>
      </c>
      <c r="S541" s="10" t="n">
        <f aca="false">M541*(F541-L541)</f>
        <v>1063.4635267776</v>
      </c>
      <c r="T541" s="10" t="n">
        <f aca="false">ROUND(P541-(Q541+R541+S541),2)</f>
        <v>0</v>
      </c>
    </row>
    <row r="542" customFormat="false" ht="15" hidden="false" customHeight="true" outlineLevel="0" collapsed="false">
      <c r="A542" s="7" t="s">
        <v>55</v>
      </c>
      <c r="B542" s="7" t="s">
        <v>74</v>
      </c>
      <c r="C542" s="7" t="s">
        <v>70</v>
      </c>
      <c r="D542" s="8" t="n">
        <v>121976.51</v>
      </c>
      <c r="E542" s="9" t="n">
        <v>0.13</v>
      </c>
      <c r="F542" s="9" t="n">
        <v>0.6</v>
      </c>
      <c r="G542" s="10" t="n">
        <f aca="false">D542*(1-E542)</f>
        <v>106119.5637</v>
      </c>
      <c r="H542" s="10" t="n">
        <f aca="false">G542*F542</f>
        <v>63671.73822</v>
      </c>
      <c r="I542" s="10" t="n">
        <f aca="false">G542-H542</f>
        <v>42447.82548</v>
      </c>
      <c r="J542" s="8" t="n">
        <v>114929.22</v>
      </c>
      <c r="K542" s="9" t="n">
        <v>0.1198</v>
      </c>
      <c r="L542" s="9" t="n">
        <v>0.5884</v>
      </c>
      <c r="M542" s="10" t="n">
        <f aca="false">J542*(1-K542)</f>
        <v>101160.699444</v>
      </c>
      <c r="N542" s="10" t="n">
        <f aca="false">M542*L542</f>
        <v>59522.9555528496</v>
      </c>
      <c r="O542" s="10" t="n">
        <f aca="false">M542-N542</f>
        <v>41637.7438911504</v>
      </c>
      <c r="P542" s="10" t="n">
        <f aca="false">O542-I542</f>
        <v>-810.081588849607</v>
      </c>
      <c r="Q542" s="10" t="n">
        <f aca="false">(J542-D542)*(1-E542)*(1-F542)</f>
        <v>-2452.45692</v>
      </c>
      <c r="R542" s="10" t="n">
        <f aca="false">J542*(E542-K542)*(1-F542)</f>
        <v>468.9112176</v>
      </c>
      <c r="S542" s="10" t="n">
        <f aca="false">M542*(F542-L542)</f>
        <v>1173.46411355039</v>
      </c>
      <c r="T542" s="10" t="n">
        <f aca="false">ROUND(P542-(Q542+R542+S542),2)</f>
        <v>-0</v>
      </c>
    </row>
    <row r="543" customFormat="false" ht="15" hidden="false" customHeight="true" outlineLevel="0" collapsed="false">
      <c r="A543" s="7" t="s">
        <v>56</v>
      </c>
      <c r="B543" s="7" t="s">
        <v>74</v>
      </c>
      <c r="C543" s="7" t="s">
        <v>70</v>
      </c>
      <c r="D543" s="8" t="n">
        <v>120136.47</v>
      </c>
      <c r="E543" s="9" t="n">
        <v>0.13</v>
      </c>
      <c r="F543" s="9" t="n">
        <v>0.6</v>
      </c>
      <c r="G543" s="10" t="n">
        <f aca="false">D543*(1-E543)</f>
        <v>104518.7289</v>
      </c>
      <c r="H543" s="10" t="n">
        <f aca="false">G543*F543</f>
        <v>62711.23734</v>
      </c>
      <c r="I543" s="10" t="n">
        <f aca="false">G543-H543</f>
        <v>41807.49156</v>
      </c>
      <c r="J543" s="8" t="n">
        <v>121761.85</v>
      </c>
      <c r="K543" s="9" t="n">
        <v>0.1285</v>
      </c>
      <c r="L543" s="9" t="n">
        <v>0.5897</v>
      </c>
      <c r="M543" s="10" t="n">
        <f aca="false">J543*(1-K543)</f>
        <v>106115.452275</v>
      </c>
      <c r="N543" s="10" t="n">
        <f aca="false">M543*L543</f>
        <v>62576.2822065675</v>
      </c>
      <c r="O543" s="10" t="n">
        <f aca="false">M543-N543</f>
        <v>43539.1700684325</v>
      </c>
      <c r="P543" s="10" t="n">
        <f aca="false">O543-I543</f>
        <v>1731.6785084325</v>
      </c>
      <c r="Q543" s="10" t="n">
        <f aca="false">(J543-D543)*(1-E543)*(1-F543)</f>
        <v>565.632240000002</v>
      </c>
      <c r="R543" s="10" t="n">
        <f aca="false">J543*(E543-K543)*(1-F543)</f>
        <v>73.0571100000001</v>
      </c>
      <c r="S543" s="10" t="n">
        <f aca="false">M543*(F543-L543)</f>
        <v>1092.9891584325</v>
      </c>
      <c r="T543" s="10" t="n">
        <f aca="false">ROUND(P543-(Q543+R543+S543),2)</f>
        <v>0</v>
      </c>
    </row>
    <row r="544" customFormat="false" ht="15" hidden="false" customHeight="true" outlineLevel="0" collapsed="false">
      <c r="A544" s="7" t="s">
        <v>57</v>
      </c>
      <c r="B544" s="7" t="s">
        <v>74</v>
      </c>
      <c r="C544" s="7" t="s">
        <v>70</v>
      </c>
      <c r="D544" s="8" t="n">
        <v>130632.59</v>
      </c>
      <c r="E544" s="9" t="n">
        <v>0.13</v>
      </c>
      <c r="F544" s="9" t="n">
        <v>0.6</v>
      </c>
      <c r="G544" s="10" t="n">
        <f aca="false">D544*(1-E544)</f>
        <v>113650.3533</v>
      </c>
      <c r="H544" s="10" t="n">
        <f aca="false">G544*F544</f>
        <v>68190.21198</v>
      </c>
      <c r="I544" s="10" t="n">
        <f aca="false">G544-H544</f>
        <v>45460.14132</v>
      </c>
      <c r="J544" s="8" t="n">
        <v>127614.34</v>
      </c>
      <c r="K544" s="9" t="n">
        <v>0.1175</v>
      </c>
      <c r="L544" s="9" t="n">
        <v>0.6056</v>
      </c>
      <c r="M544" s="10" t="n">
        <f aca="false">J544*(1-K544)</f>
        <v>112619.65505</v>
      </c>
      <c r="N544" s="10" t="n">
        <f aca="false">M544*L544</f>
        <v>68202.46309828</v>
      </c>
      <c r="O544" s="10" t="n">
        <f aca="false">M544-N544</f>
        <v>44417.19195172</v>
      </c>
      <c r="P544" s="10" t="n">
        <f aca="false">O544-I544</f>
        <v>-1042.94936828001</v>
      </c>
      <c r="Q544" s="10" t="n">
        <f aca="false">(J544-D544)*(1-E544)*(1-F544)</f>
        <v>-1050.351</v>
      </c>
      <c r="R544" s="10" t="n">
        <f aca="false">J544*(E544-K544)*(1-F544)</f>
        <v>638.071700000001</v>
      </c>
      <c r="S544" s="10" t="n">
        <f aca="false">M544*(F544-L544)</f>
        <v>-630.670068280006</v>
      </c>
      <c r="T544" s="10" t="n">
        <f aca="false">ROUND(P544-(Q544+R544+S544),2)</f>
        <v>-0</v>
      </c>
    </row>
    <row r="545" customFormat="false" ht="15" hidden="false" customHeight="true" outlineLevel="0" collapsed="false">
      <c r="A545" s="7" t="s">
        <v>58</v>
      </c>
      <c r="B545" s="7" t="s">
        <v>74</v>
      </c>
      <c r="C545" s="7" t="s">
        <v>70</v>
      </c>
      <c r="D545" s="8" t="n">
        <v>135727.31</v>
      </c>
      <c r="E545" s="9" t="n">
        <v>0.13</v>
      </c>
      <c r="F545" s="9" t="n">
        <v>0.6</v>
      </c>
      <c r="G545" s="10" t="n">
        <f aca="false">D545*(1-E545)</f>
        <v>118082.7597</v>
      </c>
      <c r="H545" s="10" t="n">
        <f aca="false">G545*F545</f>
        <v>70849.65582</v>
      </c>
      <c r="I545" s="10" t="n">
        <f aca="false">G545-H545</f>
        <v>47233.10388</v>
      </c>
      <c r="J545" s="8" t="n">
        <v>129402.92</v>
      </c>
      <c r="K545" s="9" t="n">
        <v>0.1351</v>
      </c>
      <c r="L545" s="9" t="n">
        <v>0.6004</v>
      </c>
      <c r="M545" s="10" t="n">
        <f aca="false">J545*(1-K545)</f>
        <v>111920.585508</v>
      </c>
      <c r="N545" s="10" t="n">
        <f aca="false">M545*L545</f>
        <v>67197.1195390032</v>
      </c>
      <c r="O545" s="10" t="n">
        <f aca="false">M545-N545</f>
        <v>44723.4659689968</v>
      </c>
      <c r="P545" s="10" t="n">
        <f aca="false">O545-I545</f>
        <v>-2509.6379110032</v>
      </c>
      <c r="Q545" s="10" t="n">
        <f aca="false">(J545-D545)*(1-E545)*(1-F545)</f>
        <v>-2200.88772</v>
      </c>
      <c r="R545" s="10" t="n">
        <f aca="false">J545*(E545-K545)*(1-F545)</f>
        <v>-263.9819568</v>
      </c>
      <c r="S545" s="10" t="n">
        <f aca="false">M545*(F545-L545)</f>
        <v>-44.7682342032075</v>
      </c>
      <c r="T545" s="10" t="n">
        <f aca="false">ROUND(P545-(Q545+R545+S545),2)</f>
        <v>0</v>
      </c>
    </row>
    <row r="546" customFormat="false" ht="15" hidden="false" customHeight="true" outlineLevel="0" collapsed="false">
      <c r="A546" s="7" t="s">
        <v>59</v>
      </c>
      <c r="B546" s="7" t="s">
        <v>74</v>
      </c>
      <c r="C546" s="7" t="s">
        <v>70</v>
      </c>
      <c r="D546" s="8" t="n">
        <v>139486.52</v>
      </c>
      <c r="E546" s="9" t="n">
        <v>0.13</v>
      </c>
      <c r="F546" s="9" t="n">
        <v>0.6</v>
      </c>
      <c r="G546" s="10" t="n">
        <f aca="false">D546*(1-E546)</f>
        <v>121353.2724</v>
      </c>
      <c r="H546" s="10" t="n">
        <f aca="false">G546*F546</f>
        <v>72811.96344</v>
      </c>
      <c r="I546" s="10" t="n">
        <f aca="false">G546-H546</f>
        <v>48541.30896</v>
      </c>
      <c r="J546" s="8" t="n">
        <v>153104.34</v>
      </c>
      <c r="K546" s="9" t="n">
        <v>0.1481</v>
      </c>
      <c r="L546" s="9" t="n">
        <v>0.5944</v>
      </c>
      <c r="M546" s="10" t="n">
        <f aca="false">J546*(1-K546)</f>
        <v>130429.587246</v>
      </c>
      <c r="N546" s="10" t="n">
        <f aca="false">M546*L546</f>
        <v>77527.3466590224</v>
      </c>
      <c r="O546" s="10" t="n">
        <f aca="false">M546-N546</f>
        <v>52902.2405869776</v>
      </c>
      <c r="P546" s="10" t="n">
        <f aca="false">O546-I546</f>
        <v>4360.9316269776</v>
      </c>
      <c r="Q546" s="10" t="n">
        <f aca="false">(J546-D546)*(1-E546)*(1-F546)</f>
        <v>4739.00136</v>
      </c>
      <c r="R546" s="10" t="n">
        <f aca="false">J546*(E546-K546)*(1-F546)</f>
        <v>-1108.4754216</v>
      </c>
      <c r="S546" s="10" t="n">
        <f aca="false">M546*(F546-L546)</f>
        <v>730.405688577592</v>
      </c>
      <c r="T546" s="10" t="n">
        <f aca="false">ROUND(P546-(Q546+R546+S546),2)</f>
        <v>0</v>
      </c>
    </row>
    <row r="547" customFormat="false" ht="15" hidden="false" customHeight="true" outlineLevel="0" collapsed="false">
      <c r="A547" s="7" t="s">
        <v>60</v>
      </c>
      <c r="B547" s="7" t="s">
        <v>74</v>
      </c>
      <c r="C547" s="7" t="s">
        <v>70</v>
      </c>
      <c r="D547" s="8" t="n">
        <v>143285.3</v>
      </c>
      <c r="E547" s="9" t="n">
        <v>0.13</v>
      </c>
      <c r="F547" s="9" t="n">
        <v>0.6</v>
      </c>
      <c r="G547" s="10" t="n">
        <f aca="false">D547*(1-E547)</f>
        <v>124658.211</v>
      </c>
      <c r="H547" s="10" t="n">
        <f aca="false">G547*F547</f>
        <v>74794.9266</v>
      </c>
      <c r="I547" s="10" t="n">
        <f aca="false">G547-H547</f>
        <v>49863.2844</v>
      </c>
      <c r="J547" s="8" t="n">
        <v>151796.02</v>
      </c>
      <c r="K547" s="9" t="n">
        <v>0.136</v>
      </c>
      <c r="L547" s="9" t="n">
        <v>0.5962</v>
      </c>
      <c r="M547" s="10" t="n">
        <f aca="false">J547*(1-K547)</f>
        <v>131151.76128</v>
      </c>
      <c r="N547" s="10" t="n">
        <f aca="false">M547*L547</f>
        <v>78192.680075136</v>
      </c>
      <c r="O547" s="10" t="n">
        <f aca="false">M547-N547</f>
        <v>52959.081204864</v>
      </c>
      <c r="P547" s="10" t="n">
        <f aca="false">O547-I547</f>
        <v>3095.79680486399</v>
      </c>
      <c r="Q547" s="10" t="n">
        <f aca="false">(J547-D547)*(1-E547)*(1-F547)</f>
        <v>2961.73056</v>
      </c>
      <c r="R547" s="10" t="n">
        <f aca="false">J547*(E547-K547)*(1-F547)</f>
        <v>-364.310448</v>
      </c>
      <c r="S547" s="10" t="n">
        <f aca="false">M547*(F547-L547)</f>
        <v>498.376692864003</v>
      </c>
      <c r="T547" s="10" t="n">
        <f aca="false">ROUND(P547-(Q547+R547+S547),2)</f>
        <v>-0</v>
      </c>
    </row>
    <row r="548" customFormat="false" ht="15" hidden="false" customHeight="true" outlineLevel="0" collapsed="false">
      <c r="A548" s="7" t="s">
        <v>61</v>
      </c>
      <c r="B548" s="7" t="s">
        <v>74</v>
      </c>
      <c r="C548" s="7" t="s">
        <v>70</v>
      </c>
      <c r="D548" s="8" t="n">
        <v>141465.05</v>
      </c>
      <c r="E548" s="9" t="n">
        <v>0.13</v>
      </c>
      <c r="F548" s="9" t="n">
        <v>0.6</v>
      </c>
      <c r="G548" s="10" t="n">
        <f aca="false">D548*(1-E548)</f>
        <v>123074.5935</v>
      </c>
      <c r="H548" s="10" t="n">
        <f aca="false">G548*F548</f>
        <v>73844.7561</v>
      </c>
      <c r="I548" s="10" t="n">
        <f aca="false">G548-H548</f>
        <v>49229.8374</v>
      </c>
      <c r="J548" s="8" t="n">
        <v>137961.15</v>
      </c>
      <c r="K548" s="9" t="n">
        <v>0.1177</v>
      </c>
      <c r="L548" s="9" t="n">
        <v>0.5909</v>
      </c>
      <c r="M548" s="10" t="n">
        <f aca="false">J548*(1-K548)</f>
        <v>121723.122645</v>
      </c>
      <c r="N548" s="10" t="n">
        <f aca="false">M548*L548</f>
        <v>71926.1931709305</v>
      </c>
      <c r="O548" s="10" t="n">
        <f aca="false">M548-N548</f>
        <v>49796.9294740695</v>
      </c>
      <c r="P548" s="10" t="n">
        <f aca="false">O548-I548</f>
        <v>567.0920740695</v>
      </c>
      <c r="Q548" s="10" t="n">
        <f aca="false">(J548-D548)*(1-E548)*(1-F548)</f>
        <v>-1219.3572</v>
      </c>
      <c r="R548" s="10" t="n">
        <f aca="false">J548*(E548-K548)*(1-F548)</f>
        <v>678.768858</v>
      </c>
      <c r="S548" s="10" t="n">
        <f aca="false">M548*(F548-L548)</f>
        <v>1107.6804160695</v>
      </c>
      <c r="T548" s="10" t="n">
        <f aca="false">ROUND(P548-(Q548+R548+S548),2)</f>
        <v>0</v>
      </c>
    </row>
    <row r="549" customFormat="false" ht="15" hidden="false" customHeight="true" outlineLevel="0" collapsed="false">
      <c r="A549" s="7" t="s">
        <v>62</v>
      </c>
      <c r="B549" s="7" t="s">
        <v>74</v>
      </c>
      <c r="C549" s="7" t="s">
        <v>70</v>
      </c>
      <c r="D549" s="8" t="n">
        <v>146727.95</v>
      </c>
      <c r="E549" s="9" t="n">
        <v>0.13</v>
      </c>
      <c r="F549" s="9" t="n">
        <v>0.6</v>
      </c>
      <c r="G549" s="10" t="n">
        <f aca="false">D549*(1-E549)</f>
        <v>127653.3165</v>
      </c>
      <c r="H549" s="10" t="n">
        <f aca="false">G549*F549</f>
        <v>76591.9899</v>
      </c>
      <c r="I549" s="10" t="n">
        <f aca="false">G549-H549</f>
        <v>51061.3266</v>
      </c>
      <c r="J549" s="8" t="n">
        <v>135760.37</v>
      </c>
      <c r="K549" s="9" t="n">
        <v>0.1432</v>
      </c>
      <c r="L549" s="9" t="n">
        <v>0.5834</v>
      </c>
      <c r="M549" s="10" t="n">
        <f aca="false">J549*(1-K549)</f>
        <v>116319.485016</v>
      </c>
      <c r="N549" s="10" t="n">
        <f aca="false">M549*L549</f>
        <v>67860.7875583344</v>
      </c>
      <c r="O549" s="10" t="n">
        <f aca="false">M549-N549</f>
        <v>48458.6974576656</v>
      </c>
      <c r="P549" s="10" t="n">
        <f aca="false">O549-I549</f>
        <v>-2602.62914233442</v>
      </c>
      <c r="Q549" s="10" t="n">
        <f aca="false">(J549-D549)*(1-E549)*(1-F549)</f>
        <v>-3816.71784000001</v>
      </c>
      <c r="R549" s="10" t="n">
        <f aca="false">J549*(E549-K549)*(1-F549)</f>
        <v>-716.814753599999</v>
      </c>
      <c r="S549" s="10" t="n">
        <f aca="false">M549*(F549-L549)</f>
        <v>1930.90345126559</v>
      </c>
      <c r="T549" s="10" t="n">
        <f aca="false">ROUND(P549-(Q549+R549+S549),2)</f>
        <v>-0</v>
      </c>
    </row>
    <row r="550" customFormat="false" ht="15" hidden="false" customHeight="true" outlineLevel="0" collapsed="false">
      <c r="A550" s="7" t="s">
        <v>63</v>
      </c>
      <c r="B550" s="7" t="s">
        <v>74</v>
      </c>
      <c r="C550" s="7" t="s">
        <v>70</v>
      </c>
      <c r="D550" s="8" t="n">
        <v>150615.76</v>
      </c>
      <c r="E550" s="9" t="n">
        <v>0.13</v>
      </c>
      <c r="F550" s="9" t="n">
        <v>0.6</v>
      </c>
      <c r="G550" s="10" t="n">
        <f aca="false">D550*(1-E550)</f>
        <v>131035.7112</v>
      </c>
      <c r="H550" s="10" t="n">
        <f aca="false">G550*F550</f>
        <v>78621.42672</v>
      </c>
      <c r="I550" s="10" t="n">
        <f aca="false">G550-H550</f>
        <v>52414.28448</v>
      </c>
      <c r="J550" s="8" t="n">
        <v>149867.4</v>
      </c>
      <c r="K550" s="9" t="n">
        <v>0.1233</v>
      </c>
      <c r="L550" s="9" t="n">
        <v>0.6043</v>
      </c>
      <c r="M550" s="10" t="n">
        <f aca="false">J550*(1-K550)</f>
        <v>131388.74958</v>
      </c>
      <c r="N550" s="10" t="n">
        <f aca="false">M550*L550</f>
        <v>79398.221371194</v>
      </c>
      <c r="O550" s="10" t="n">
        <f aca="false">M550-N550</f>
        <v>51990.528208806</v>
      </c>
      <c r="P550" s="10" t="n">
        <f aca="false">O550-I550</f>
        <v>-423.756271193997</v>
      </c>
      <c r="Q550" s="10" t="n">
        <f aca="false">(J550-D550)*(1-E550)*(1-F550)</f>
        <v>-260.429280000005</v>
      </c>
      <c r="R550" s="10" t="n">
        <f aca="false">J550*(E550-K550)*(1-F550)</f>
        <v>401.644632</v>
      </c>
      <c r="S550" s="10" t="n">
        <f aca="false">M550*(F550-L550)</f>
        <v>-564.971623193996</v>
      </c>
      <c r="T550" s="10" t="n">
        <f aca="false">ROUND(P550-(Q550+R550+S550),2)</f>
        <v>0</v>
      </c>
    </row>
    <row r="551" customFormat="false" ht="15" hidden="false" customHeight="true" outlineLevel="0" collapsed="false">
      <c r="A551" s="7" t="s">
        <v>64</v>
      </c>
      <c r="B551" s="7" t="s">
        <v>74</v>
      </c>
      <c r="C551" s="7" t="s">
        <v>70</v>
      </c>
      <c r="D551" s="8" t="n">
        <v>158876.13</v>
      </c>
      <c r="E551" s="9" t="n">
        <v>0.13</v>
      </c>
      <c r="F551" s="9" t="n">
        <v>0.6</v>
      </c>
      <c r="G551" s="10" t="n">
        <f aca="false">D551*(1-E551)</f>
        <v>138222.2331</v>
      </c>
      <c r="H551" s="10" t="n">
        <f aca="false">G551*F551</f>
        <v>82933.33986</v>
      </c>
      <c r="I551" s="10" t="n">
        <f aca="false">G551-H551</f>
        <v>55288.89324</v>
      </c>
      <c r="J551" s="8" t="n">
        <v>156706.65</v>
      </c>
      <c r="K551" s="9" t="n">
        <v>0.1455</v>
      </c>
      <c r="L551" s="9" t="n">
        <v>0.6068</v>
      </c>
      <c r="M551" s="10" t="n">
        <f aca="false">J551*(1-K551)</f>
        <v>133905.832425</v>
      </c>
      <c r="N551" s="10" t="n">
        <f aca="false">M551*L551</f>
        <v>81254.05911549</v>
      </c>
      <c r="O551" s="10" t="n">
        <f aca="false">M551-N551</f>
        <v>52651.77330951</v>
      </c>
      <c r="P551" s="10" t="n">
        <f aca="false">O551-I551</f>
        <v>-2637.11993049001</v>
      </c>
      <c r="Q551" s="10" t="n">
        <f aca="false">(J551-D551)*(1-E551)*(1-F551)</f>
        <v>-754.979040000004</v>
      </c>
      <c r="R551" s="10" t="n">
        <f aca="false">J551*(E551-K551)*(1-F551)</f>
        <v>-971.581229999999</v>
      </c>
      <c r="S551" s="10" t="n">
        <f aca="false">M551*(F551-L551)</f>
        <v>-910.559660490004</v>
      </c>
      <c r="T551" s="10" t="n">
        <f aca="false">ROUND(P551-(Q551+R551+S551),2)</f>
        <v>0</v>
      </c>
    </row>
    <row r="552" customFormat="false" ht="15" hidden="false" customHeight="true" outlineLevel="0" collapsed="false">
      <c r="A552" s="7" t="s">
        <v>65</v>
      </c>
      <c r="B552" s="7" t="s">
        <v>74</v>
      </c>
      <c r="C552" s="7" t="s">
        <v>70</v>
      </c>
      <c r="D552" s="8" t="n">
        <v>189048.75</v>
      </c>
      <c r="E552" s="9" t="n">
        <v>0.13</v>
      </c>
      <c r="F552" s="9" t="n">
        <v>0.6</v>
      </c>
      <c r="G552" s="10" t="n">
        <f aca="false">D552*(1-E552)</f>
        <v>164472.4125</v>
      </c>
      <c r="H552" s="10" t="n">
        <f aca="false">G552*F552</f>
        <v>98683.4475</v>
      </c>
      <c r="I552" s="10" t="n">
        <f aca="false">G552-H552</f>
        <v>65788.965</v>
      </c>
      <c r="J552" s="8" t="n">
        <v>190023.67</v>
      </c>
      <c r="K552" s="9" t="n">
        <v>0.1148</v>
      </c>
      <c r="L552" s="9" t="n">
        <v>0.5902</v>
      </c>
      <c r="M552" s="10" t="n">
        <f aca="false">J552*(1-K552)</f>
        <v>168208.952684</v>
      </c>
      <c r="N552" s="10" t="n">
        <f aca="false">M552*L552</f>
        <v>99276.9238740968</v>
      </c>
      <c r="O552" s="10" t="n">
        <f aca="false">M552-N552</f>
        <v>68932.0288099032</v>
      </c>
      <c r="P552" s="10" t="n">
        <f aca="false">O552-I552</f>
        <v>3143.06380990321</v>
      </c>
      <c r="Q552" s="10" t="n">
        <f aca="false">(J552-D552)*(1-E552)*(1-F552)</f>
        <v>339.272160000005</v>
      </c>
      <c r="R552" s="10" t="n">
        <f aca="false">J552*(E552-K552)*(1-F552)</f>
        <v>1155.3439136</v>
      </c>
      <c r="S552" s="10" t="n">
        <f aca="false">M552*(F552-L552)</f>
        <v>1648.44773630321</v>
      </c>
      <c r="T552" s="10" t="n">
        <f aca="false">ROUND(P552-(Q552+R552+S552),2)</f>
        <v>0</v>
      </c>
    </row>
    <row r="553" customFormat="false" ht="15" hidden="false" customHeight="true" outlineLevel="0" collapsed="false">
      <c r="A553" s="7" t="s">
        <v>66</v>
      </c>
      <c r="B553" s="7" t="s">
        <v>74</v>
      </c>
      <c r="C553" s="7" t="s">
        <v>70</v>
      </c>
      <c r="D553" s="8" t="n">
        <v>178621.89</v>
      </c>
      <c r="E553" s="9" t="n">
        <v>0.13</v>
      </c>
      <c r="F553" s="9" t="n">
        <v>0.6</v>
      </c>
      <c r="G553" s="10" t="n">
        <f aca="false">D553*(1-E553)</f>
        <v>155401.0443</v>
      </c>
      <c r="H553" s="10" t="n">
        <f aca="false">G553*F553</f>
        <v>93240.62658</v>
      </c>
      <c r="I553" s="10" t="n">
        <f aca="false">G553-H553</f>
        <v>62160.41772</v>
      </c>
      <c r="J553" s="8" t="n">
        <v>175176.09</v>
      </c>
      <c r="K553" s="9" t="n">
        <v>0.1377</v>
      </c>
      <c r="L553" s="9" t="n">
        <v>0.5862</v>
      </c>
      <c r="M553" s="10" t="n">
        <f aca="false">J553*(1-K553)</f>
        <v>151054.342407</v>
      </c>
      <c r="N553" s="10" t="n">
        <f aca="false">M553*L553</f>
        <v>88548.0555189834</v>
      </c>
      <c r="O553" s="10" t="n">
        <f aca="false">M553-N553</f>
        <v>62506.2868880166</v>
      </c>
      <c r="P553" s="10" t="n">
        <f aca="false">O553-I553</f>
        <v>345.869168016594</v>
      </c>
      <c r="Q553" s="10" t="n">
        <f aca="false">(J553-D553)*(1-E553)*(1-F553)</f>
        <v>-1199.13840000001</v>
      </c>
      <c r="R553" s="10" t="n">
        <f aca="false">J553*(E553-K553)*(1-F553)</f>
        <v>-539.542357199999</v>
      </c>
      <c r="S553" s="10" t="n">
        <f aca="false">M553*(F553-L553)</f>
        <v>2084.54992521659</v>
      </c>
      <c r="T553" s="10" t="n">
        <f aca="false">ROUND(P553-(Q553+R553+S553),2)</f>
        <v>0</v>
      </c>
    </row>
    <row r="554" customFormat="false" ht="15" hidden="false" customHeight="true" outlineLevel="0" collapsed="false">
      <c r="A554" s="7" t="s">
        <v>41</v>
      </c>
      <c r="B554" s="7" t="s">
        <v>74</v>
      </c>
      <c r="C554" s="7" t="s">
        <v>71</v>
      </c>
      <c r="D554" s="8" t="n">
        <v>123131.94</v>
      </c>
      <c r="E554" s="9" t="n">
        <v>0.09</v>
      </c>
      <c r="F554" s="9" t="n">
        <v>0.56</v>
      </c>
      <c r="G554" s="10" t="n">
        <f aca="false">D554*(1-E554)</f>
        <v>112050.0654</v>
      </c>
      <c r="H554" s="10" t="n">
        <f aca="false">G554*F554</f>
        <v>62748.036624</v>
      </c>
      <c r="I554" s="10" t="n">
        <f aca="false">G554-H554</f>
        <v>49302.028776</v>
      </c>
      <c r="J554" s="8" t="n">
        <v>120002.24</v>
      </c>
      <c r="K554" s="9" t="n">
        <v>0.0753</v>
      </c>
      <c r="L554" s="9" t="n">
        <v>0.5608</v>
      </c>
      <c r="M554" s="10" t="n">
        <f aca="false">J554*(1-K554)</f>
        <v>110966.071328</v>
      </c>
      <c r="N554" s="10" t="n">
        <f aca="false">M554*L554</f>
        <v>62229.7728007424</v>
      </c>
      <c r="O554" s="10" t="n">
        <f aca="false">M554-N554</f>
        <v>48736.2985272576</v>
      </c>
      <c r="P554" s="10" t="n">
        <f aca="false">O554-I554</f>
        <v>-565.730248742395</v>
      </c>
      <c r="Q554" s="10" t="n">
        <f aca="false">(J554-D554)*(1-E554)*(1-F554)</f>
        <v>-1253.13188</v>
      </c>
      <c r="R554" s="10" t="n">
        <f aca="false">J554*(E554-K554)*(1-F554)</f>
        <v>776.17448832</v>
      </c>
      <c r="S554" s="10" t="n">
        <f aca="false">M554*(F554-L554)</f>
        <v>-88.7728570623902</v>
      </c>
      <c r="T554" s="10" t="n">
        <f aca="false">ROUND(P554-(Q554+R554+S554),2)</f>
        <v>-0</v>
      </c>
    </row>
    <row r="555" customFormat="false" ht="15" hidden="false" customHeight="true" outlineLevel="0" collapsed="false">
      <c r="A555" s="7" t="s">
        <v>44</v>
      </c>
      <c r="B555" s="7" t="s">
        <v>74</v>
      </c>
      <c r="C555" s="7" t="s">
        <v>71</v>
      </c>
      <c r="D555" s="8" t="n">
        <v>121358.84</v>
      </c>
      <c r="E555" s="9" t="n">
        <v>0.09</v>
      </c>
      <c r="F555" s="9" t="n">
        <v>0.56</v>
      </c>
      <c r="G555" s="10" t="n">
        <f aca="false">D555*(1-E555)</f>
        <v>110436.5444</v>
      </c>
      <c r="H555" s="10" t="n">
        <f aca="false">G555*F555</f>
        <v>61844.464864</v>
      </c>
      <c r="I555" s="10" t="n">
        <f aca="false">G555-H555</f>
        <v>48592.079536</v>
      </c>
      <c r="J555" s="8" t="n">
        <v>123302</v>
      </c>
      <c r="K555" s="9" t="n">
        <v>0.0921</v>
      </c>
      <c r="L555" s="9" t="n">
        <v>0.5533</v>
      </c>
      <c r="M555" s="10" t="n">
        <f aca="false">J555*(1-K555)</f>
        <v>111945.8858</v>
      </c>
      <c r="N555" s="10" t="n">
        <f aca="false">M555*L555</f>
        <v>61939.65861314</v>
      </c>
      <c r="O555" s="10" t="n">
        <f aca="false">M555-N555</f>
        <v>50006.22718686</v>
      </c>
      <c r="P555" s="10" t="n">
        <f aca="false">O555-I555</f>
        <v>1414.14765086001</v>
      </c>
      <c r="Q555" s="10" t="n">
        <f aca="false">(J555-D555)*(1-E555)*(1-F555)</f>
        <v>778.041264000001</v>
      </c>
      <c r="R555" s="10" t="n">
        <f aca="false">J555*(E555-K555)*(1-F555)</f>
        <v>-113.931048</v>
      </c>
      <c r="S555" s="10" t="n">
        <f aca="false">M555*(F555-L555)</f>
        <v>750.037434860004</v>
      </c>
      <c r="T555" s="10" t="n">
        <f aca="false">ROUND(P555-(Q555+R555+S555),2)</f>
        <v>0</v>
      </c>
    </row>
    <row r="556" customFormat="false" ht="15" hidden="false" customHeight="true" outlineLevel="0" collapsed="false">
      <c r="A556" s="7" t="s">
        <v>45</v>
      </c>
      <c r="B556" s="7" t="s">
        <v>74</v>
      </c>
      <c r="C556" s="7" t="s">
        <v>71</v>
      </c>
      <c r="D556" s="8" t="n">
        <v>132052.17</v>
      </c>
      <c r="E556" s="9" t="n">
        <v>0.09</v>
      </c>
      <c r="F556" s="9" t="n">
        <v>0.56</v>
      </c>
      <c r="G556" s="10" t="n">
        <f aca="false">D556*(1-E556)</f>
        <v>120167.4747</v>
      </c>
      <c r="H556" s="10" t="n">
        <f aca="false">G556*F556</f>
        <v>67293.785832</v>
      </c>
      <c r="I556" s="10" t="n">
        <f aca="false">G556-H556</f>
        <v>52873.688868</v>
      </c>
      <c r="J556" s="8" t="n">
        <v>143730.18</v>
      </c>
      <c r="K556" s="9" t="n">
        <v>0.0846</v>
      </c>
      <c r="L556" s="9" t="n">
        <v>0.5556</v>
      </c>
      <c r="M556" s="10" t="n">
        <f aca="false">J556*(1-K556)</f>
        <v>131570.606772</v>
      </c>
      <c r="N556" s="10" t="n">
        <f aca="false">M556*L556</f>
        <v>73100.6291225232</v>
      </c>
      <c r="O556" s="10" t="n">
        <f aca="false">M556-N556</f>
        <v>58469.9776494768</v>
      </c>
      <c r="P556" s="10" t="n">
        <f aca="false">O556-I556</f>
        <v>5596.2887814768</v>
      </c>
      <c r="Q556" s="10" t="n">
        <f aca="false">(J556-D556)*(1-E556)*(1-F556)</f>
        <v>4675.87520399999</v>
      </c>
      <c r="R556" s="10" t="n">
        <f aca="false">J556*(E556-K556)*(1-F556)</f>
        <v>341.50290768</v>
      </c>
      <c r="S556" s="10" t="n">
        <f aca="false">M556*(F556-L556)</f>
        <v>578.910669796809</v>
      </c>
      <c r="T556" s="10" t="n">
        <f aca="false">ROUND(P556-(Q556+R556+S556),2)</f>
        <v>0</v>
      </c>
    </row>
    <row r="557" customFormat="false" ht="15" hidden="false" customHeight="true" outlineLevel="0" collapsed="false">
      <c r="A557" s="7" t="s">
        <v>46</v>
      </c>
      <c r="B557" s="7" t="s">
        <v>74</v>
      </c>
      <c r="C557" s="7" t="s">
        <v>71</v>
      </c>
      <c r="D557" s="8" t="n">
        <v>137294.85</v>
      </c>
      <c r="E557" s="9" t="n">
        <v>0.09</v>
      </c>
      <c r="F557" s="9" t="n">
        <v>0.56</v>
      </c>
      <c r="G557" s="10" t="n">
        <f aca="false">D557*(1-E557)</f>
        <v>124938.3135</v>
      </c>
      <c r="H557" s="10" t="n">
        <f aca="false">G557*F557</f>
        <v>69965.45556</v>
      </c>
      <c r="I557" s="10" t="n">
        <f aca="false">G557-H557</f>
        <v>54972.85794</v>
      </c>
      <c r="J557" s="8" t="n">
        <v>142877.39</v>
      </c>
      <c r="K557" s="9" t="n">
        <v>0.078</v>
      </c>
      <c r="L557" s="9" t="n">
        <v>0.5621</v>
      </c>
      <c r="M557" s="10" t="n">
        <f aca="false">J557*(1-K557)</f>
        <v>131732.95358</v>
      </c>
      <c r="N557" s="10" t="n">
        <f aca="false">M557*L557</f>
        <v>74047.093207318</v>
      </c>
      <c r="O557" s="10" t="n">
        <f aca="false">M557-N557</f>
        <v>57685.860372682</v>
      </c>
      <c r="P557" s="10" t="n">
        <f aca="false">O557-I557</f>
        <v>2713.00243268201</v>
      </c>
      <c r="Q557" s="10" t="n">
        <f aca="false">(J557-D557)*(1-E557)*(1-F557)</f>
        <v>2235.249016</v>
      </c>
      <c r="R557" s="10" t="n">
        <f aca="false">J557*(E557-K557)*(1-F557)</f>
        <v>754.3926192</v>
      </c>
      <c r="S557" s="10" t="n">
        <f aca="false">M557*(F557-L557)</f>
        <v>-276.639202517999</v>
      </c>
      <c r="T557" s="10" t="n">
        <f aca="false">ROUND(P557-(Q557+R557+S557),2)</f>
        <v>0</v>
      </c>
    </row>
    <row r="558" customFormat="false" ht="15" hidden="false" customHeight="true" outlineLevel="0" collapsed="false">
      <c r="A558" s="7" t="s">
        <v>47</v>
      </c>
      <c r="B558" s="7" t="s">
        <v>74</v>
      </c>
      <c r="C558" s="7" t="s">
        <v>71</v>
      </c>
      <c r="D558" s="8" t="n">
        <v>141191.29</v>
      </c>
      <c r="E558" s="9" t="n">
        <v>0.09</v>
      </c>
      <c r="F558" s="9" t="n">
        <v>0.56</v>
      </c>
      <c r="G558" s="10" t="n">
        <f aca="false">D558*(1-E558)</f>
        <v>128484.0739</v>
      </c>
      <c r="H558" s="10" t="n">
        <f aca="false">G558*F558</f>
        <v>71951.081384</v>
      </c>
      <c r="I558" s="10" t="n">
        <f aca="false">G558-H558</f>
        <v>56532.992516</v>
      </c>
      <c r="J558" s="8" t="n">
        <v>135601.23</v>
      </c>
      <c r="K558" s="9" t="n">
        <v>0.0982</v>
      </c>
      <c r="L558" s="9" t="n">
        <v>0.5659</v>
      </c>
      <c r="M558" s="10" t="n">
        <f aca="false">J558*(1-K558)</f>
        <v>122285.189214</v>
      </c>
      <c r="N558" s="10" t="n">
        <f aca="false">M558*L558</f>
        <v>69201.1885762026</v>
      </c>
      <c r="O558" s="10" t="n">
        <f aca="false">M558-N558</f>
        <v>53084.0006377974</v>
      </c>
      <c r="P558" s="10" t="n">
        <f aca="false">O558-I558</f>
        <v>-3448.99187820259</v>
      </c>
      <c r="Q558" s="10" t="n">
        <f aca="false">(J558-D558)*(1-E558)*(1-F558)</f>
        <v>-2238.260024</v>
      </c>
      <c r="R558" s="10" t="n">
        <f aca="false">J558*(E558-K558)*(1-F558)</f>
        <v>-489.24923784</v>
      </c>
      <c r="S558" s="10" t="n">
        <f aca="false">M558*(F558-L558)</f>
        <v>-721.482616362589</v>
      </c>
      <c r="T558" s="10" t="n">
        <f aca="false">ROUND(P558-(Q558+R558+S558),2)</f>
        <v>0</v>
      </c>
    </row>
    <row r="559" customFormat="false" ht="15" hidden="false" customHeight="true" outlineLevel="0" collapsed="false">
      <c r="A559" s="7" t="s">
        <v>48</v>
      </c>
      <c r="B559" s="7" t="s">
        <v>74</v>
      </c>
      <c r="C559" s="7" t="s">
        <v>71</v>
      </c>
      <c r="D559" s="8" t="n">
        <v>145131.51</v>
      </c>
      <c r="E559" s="9" t="n">
        <v>0.09</v>
      </c>
      <c r="F559" s="9" t="n">
        <v>0.56</v>
      </c>
      <c r="G559" s="10" t="n">
        <f aca="false">D559*(1-E559)</f>
        <v>132069.6741</v>
      </c>
      <c r="H559" s="10" t="n">
        <f aca="false">G559*F559</f>
        <v>73959.017496</v>
      </c>
      <c r="I559" s="10" t="n">
        <f aca="false">G559-H559</f>
        <v>58110.656604</v>
      </c>
      <c r="J559" s="8" t="n">
        <v>144648.1</v>
      </c>
      <c r="K559" s="9" t="n">
        <v>0.0881</v>
      </c>
      <c r="L559" s="9" t="n">
        <v>0.5711</v>
      </c>
      <c r="M559" s="10" t="n">
        <f aca="false">J559*(1-K559)</f>
        <v>131904.60239</v>
      </c>
      <c r="N559" s="10" t="n">
        <f aca="false">M559*L559</f>
        <v>75330.718424929</v>
      </c>
      <c r="O559" s="10" t="n">
        <f aca="false">M559-N559</f>
        <v>56573.883965071</v>
      </c>
      <c r="P559" s="10" t="n">
        <f aca="false">O559-I559</f>
        <v>-1536.77263892899</v>
      </c>
      <c r="Q559" s="10" t="n">
        <f aca="false">(J559-D559)*(1-E559)*(1-F559)</f>
        <v>-193.557364000001</v>
      </c>
      <c r="R559" s="10" t="n">
        <f aca="false">J559*(E559-K559)*(1-F559)</f>
        <v>120.9258116</v>
      </c>
      <c r="S559" s="10" t="n">
        <f aca="false">M559*(F559-L559)</f>
        <v>-1464.141086529</v>
      </c>
      <c r="T559" s="10" t="n">
        <f aca="false">ROUND(P559-(Q559+R559+S559),2)</f>
        <v>0</v>
      </c>
    </row>
    <row r="560" customFormat="false" ht="15" hidden="false" customHeight="true" outlineLevel="0" collapsed="false">
      <c r="A560" s="7" t="s">
        <v>49</v>
      </c>
      <c r="B560" s="7" t="s">
        <v>74</v>
      </c>
      <c r="C560" s="7" t="s">
        <v>71</v>
      </c>
      <c r="D560" s="8" t="n">
        <v>143380.3</v>
      </c>
      <c r="E560" s="9" t="n">
        <v>0.09</v>
      </c>
      <c r="F560" s="9" t="n">
        <v>0.56</v>
      </c>
      <c r="G560" s="10" t="n">
        <f aca="false">D560*(1-E560)</f>
        <v>130476.073</v>
      </c>
      <c r="H560" s="10" t="n">
        <f aca="false">G560*F560</f>
        <v>73066.60088</v>
      </c>
      <c r="I560" s="10" t="n">
        <f aca="false">G560-H560</f>
        <v>57409.47212</v>
      </c>
      <c r="J560" s="8" t="n">
        <v>141728.07</v>
      </c>
      <c r="K560" s="9" t="n">
        <v>0.0837</v>
      </c>
      <c r="L560" s="9" t="n">
        <v>0.5669</v>
      </c>
      <c r="M560" s="10" t="n">
        <f aca="false">J560*(1-K560)</f>
        <v>129865.430541</v>
      </c>
      <c r="N560" s="10" t="n">
        <f aca="false">M560*L560</f>
        <v>73620.7125736929</v>
      </c>
      <c r="O560" s="10" t="n">
        <f aca="false">M560-N560</f>
        <v>56244.7179673071</v>
      </c>
      <c r="P560" s="10" t="n">
        <f aca="false">O560-I560</f>
        <v>-1164.75415269288</v>
      </c>
      <c r="Q560" s="10" t="n">
        <f aca="false">(J560-D560)*(1-E560)*(1-F560)</f>
        <v>-661.552891999992</v>
      </c>
      <c r="R560" s="10" t="n">
        <f aca="false">J560*(E560-K560)*(1-F560)</f>
        <v>392.87021004</v>
      </c>
      <c r="S560" s="10" t="n">
        <f aca="false">M560*(F560-L560)</f>
        <v>-896.071470732888</v>
      </c>
      <c r="T560" s="10" t="n">
        <f aca="false">ROUND(P560-(Q560+R560+S560),2)</f>
        <v>0</v>
      </c>
    </row>
    <row r="561" customFormat="false" ht="15" hidden="false" customHeight="true" outlineLevel="0" collapsed="false">
      <c r="A561" s="7" t="s">
        <v>50</v>
      </c>
      <c r="B561" s="7" t="s">
        <v>74</v>
      </c>
      <c r="C561" s="7" t="s">
        <v>71</v>
      </c>
      <c r="D561" s="8" t="n">
        <v>148809.06</v>
      </c>
      <c r="E561" s="9" t="n">
        <v>0.09</v>
      </c>
      <c r="F561" s="9" t="n">
        <v>0.56</v>
      </c>
      <c r="G561" s="10" t="n">
        <f aca="false">D561*(1-E561)</f>
        <v>135416.2446</v>
      </c>
      <c r="H561" s="10" t="n">
        <f aca="false">G561*F561</f>
        <v>75833.096976</v>
      </c>
      <c r="I561" s="10" t="n">
        <f aca="false">G561-H561</f>
        <v>59583.147624</v>
      </c>
      <c r="J561" s="8" t="n">
        <v>154266.62</v>
      </c>
      <c r="K561" s="9" t="n">
        <v>0.0886</v>
      </c>
      <c r="L561" s="9" t="n">
        <v>0.5632</v>
      </c>
      <c r="M561" s="10" t="n">
        <f aca="false">J561*(1-K561)</f>
        <v>140598.597468</v>
      </c>
      <c r="N561" s="10" t="n">
        <f aca="false">M561*L561</f>
        <v>79185.1300939776</v>
      </c>
      <c r="O561" s="10" t="n">
        <f aca="false">M561-N561</f>
        <v>61413.4673740224</v>
      </c>
      <c r="P561" s="10" t="n">
        <f aca="false">O561-I561</f>
        <v>1830.31975002241</v>
      </c>
      <c r="Q561" s="10" t="n">
        <f aca="false">(J561-D561)*(1-E561)*(1-F561)</f>
        <v>2185.207024</v>
      </c>
      <c r="R561" s="10" t="n">
        <f aca="false">J561*(E561-K561)*(1-F561)</f>
        <v>95.0282379199999</v>
      </c>
      <c r="S561" s="10" t="n">
        <f aca="false">M561*(F561-L561)</f>
        <v>-449.915511897597</v>
      </c>
      <c r="T561" s="10" t="n">
        <f aca="false">ROUND(P561-(Q561+R561+S561),2)</f>
        <v>0</v>
      </c>
    </row>
    <row r="562" customFormat="false" ht="15" hidden="false" customHeight="true" outlineLevel="0" collapsed="false">
      <c r="A562" s="7" t="s">
        <v>51</v>
      </c>
      <c r="B562" s="7" t="s">
        <v>74</v>
      </c>
      <c r="C562" s="7" t="s">
        <v>71</v>
      </c>
      <c r="D562" s="8" t="n">
        <v>152847.78</v>
      </c>
      <c r="E562" s="9" t="n">
        <v>0.09</v>
      </c>
      <c r="F562" s="9" t="n">
        <v>0.56</v>
      </c>
      <c r="G562" s="10" t="n">
        <f aca="false">D562*(1-E562)</f>
        <v>139091.4798</v>
      </c>
      <c r="H562" s="10" t="n">
        <f aca="false">G562*F562</f>
        <v>77891.228688</v>
      </c>
      <c r="I562" s="10" t="n">
        <f aca="false">G562-H562</f>
        <v>61200.251112</v>
      </c>
      <c r="J562" s="8" t="n">
        <v>154287.16</v>
      </c>
      <c r="K562" s="9" t="n">
        <v>0.0946</v>
      </c>
      <c r="L562" s="9" t="n">
        <v>0.5598</v>
      </c>
      <c r="M562" s="10" t="n">
        <f aca="false">J562*(1-K562)</f>
        <v>139691.594664</v>
      </c>
      <c r="N562" s="10" t="n">
        <f aca="false">M562*L562</f>
        <v>78199.3546929072</v>
      </c>
      <c r="O562" s="10" t="n">
        <f aca="false">M562-N562</f>
        <v>61492.2399710928</v>
      </c>
      <c r="P562" s="10" t="n">
        <f aca="false">O562-I562</f>
        <v>291.988859092802</v>
      </c>
      <c r="Q562" s="10" t="n">
        <f aca="false">(J562-D562)*(1-E562)*(1-F562)</f>
        <v>576.327752000002</v>
      </c>
      <c r="R562" s="10" t="n">
        <f aca="false">J562*(E562-K562)*(1-F562)</f>
        <v>-312.27721184</v>
      </c>
      <c r="S562" s="10" t="n">
        <f aca="false">M562*(F562-L562)</f>
        <v>27.9383189328124</v>
      </c>
      <c r="T562" s="10" t="n">
        <f aca="false">ROUND(P562-(Q562+R562+S562),2)</f>
        <v>-0</v>
      </c>
    </row>
    <row r="563" customFormat="false" ht="15" hidden="false" customHeight="true" outlineLevel="0" collapsed="false">
      <c r="A563" s="7" t="s">
        <v>52</v>
      </c>
      <c r="B563" s="7" t="s">
        <v>74</v>
      </c>
      <c r="C563" s="7" t="s">
        <v>71</v>
      </c>
      <c r="D563" s="8" t="n">
        <v>161330.21</v>
      </c>
      <c r="E563" s="9" t="n">
        <v>0.09</v>
      </c>
      <c r="F563" s="9" t="n">
        <v>0.56</v>
      </c>
      <c r="G563" s="10" t="n">
        <f aca="false">D563*(1-E563)</f>
        <v>146810.4911</v>
      </c>
      <c r="H563" s="10" t="n">
        <f aca="false">G563*F563</f>
        <v>82213.875016</v>
      </c>
      <c r="I563" s="10" t="n">
        <f aca="false">G563-H563</f>
        <v>64596.616084</v>
      </c>
      <c r="J563" s="8" t="n">
        <v>162491.36</v>
      </c>
      <c r="K563" s="9" t="n">
        <v>0.1066</v>
      </c>
      <c r="L563" s="9" t="n">
        <v>0.5704</v>
      </c>
      <c r="M563" s="10" t="n">
        <f aca="false">J563*(1-K563)</f>
        <v>145169.781024</v>
      </c>
      <c r="N563" s="10" t="n">
        <f aca="false">M563*L563</f>
        <v>82804.8430960896</v>
      </c>
      <c r="O563" s="10" t="n">
        <f aca="false">M563-N563</f>
        <v>62364.9379279104</v>
      </c>
      <c r="P563" s="10" t="n">
        <f aca="false">O563-I563</f>
        <v>-2231.67815608959</v>
      </c>
      <c r="Q563" s="10" t="n">
        <f aca="false">(J563-D563)*(1-E563)*(1-F563)</f>
        <v>464.924459999998</v>
      </c>
      <c r="R563" s="10" t="n">
        <f aca="false">J563*(E563-K563)*(1-F563)</f>
        <v>-1186.83689344</v>
      </c>
      <c r="S563" s="10" t="n">
        <f aca="false">M563*(F563-L563)</f>
        <v>-1509.76572264959</v>
      </c>
      <c r="T563" s="10" t="n">
        <f aca="false">ROUND(P563-(Q563+R563+S563),2)</f>
        <v>0</v>
      </c>
    </row>
    <row r="564" customFormat="false" ht="15" hidden="false" customHeight="true" outlineLevel="0" collapsed="false">
      <c r="A564" s="7" t="s">
        <v>53</v>
      </c>
      <c r="B564" s="7" t="s">
        <v>74</v>
      </c>
      <c r="C564" s="7" t="s">
        <v>71</v>
      </c>
      <c r="D564" s="8" t="n">
        <v>192085.83</v>
      </c>
      <c r="E564" s="9" t="n">
        <v>0.09</v>
      </c>
      <c r="F564" s="9" t="n">
        <v>0.56</v>
      </c>
      <c r="G564" s="10" t="n">
        <f aca="false">D564*(1-E564)</f>
        <v>174798.1053</v>
      </c>
      <c r="H564" s="10" t="n">
        <f aca="false">G564*F564</f>
        <v>97886.938968</v>
      </c>
      <c r="I564" s="10" t="n">
        <f aca="false">G564-H564</f>
        <v>76911.166332</v>
      </c>
      <c r="J564" s="8" t="n">
        <v>197711.17</v>
      </c>
      <c r="K564" s="9" t="n">
        <v>0.0854</v>
      </c>
      <c r="L564" s="9" t="n">
        <v>0.5546</v>
      </c>
      <c r="M564" s="10" t="n">
        <f aca="false">J564*(1-K564)</f>
        <v>180826.636082</v>
      </c>
      <c r="N564" s="10" t="n">
        <f aca="false">M564*L564</f>
        <v>100286.452371077</v>
      </c>
      <c r="O564" s="10" t="n">
        <f aca="false">M564-N564</f>
        <v>80540.1837109228</v>
      </c>
      <c r="P564" s="10" t="n">
        <f aca="false">O564-I564</f>
        <v>3629.01737892281</v>
      </c>
      <c r="Q564" s="10" t="n">
        <f aca="false">(J564-D564)*(1-E564)*(1-F564)</f>
        <v>2252.38613600001</v>
      </c>
      <c r="R564" s="10" t="n">
        <f aca="false">J564*(E564-K564)*(1-F564)</f>
        <v>400.167408079999</v>
      </c>
      <c r="S564" s="10" t="n">
        <f aca="false">M564*(F564-L564)</f>
        <v>976.463834842813</v>
      </c>
      <c r="T564" s="10" t="n">
        <f aca="false">ROUND(P564-(Q564+R564+S564),2)</f>
        <v>0</v>
      </c>
    </row>
    <row r="565" customFormat="false" ht="15" hidden="false" customHeight="true" outlineLevel="0" collapsed="false">
      <c r="A565" s="7" t="s">
        <v>54</v>
      </c>
      <c r="B565" s="7" t="s">
        <v>74</v>
      </c>
      <c r="C565" s="7" t="s">
        <v>71</v>
      </c>
      <c r="D565" s="8" t="n">
        <v>181600.46</v>
      </c>
      <c r="E565" s="9" t="n">
        <v>0.09</v>
      </c>
      <c r="F565" s="9" t="n">
        <v>0.56</v>
      </c>
      <c r="G565" s="10" t="n">
        <f aca="false">D565*(1-E565)</f>
        <v>165256.4186</v>
      </c>
      <c r="H565" s="10" t="n">
        <f aca="false">G565*F565</f>
        <v>92543.594416</v>
      </c>
      <c r="I565" s="10" t="n">
        <f aca="false">G565-H565</f>
        <v>72712.824184</v>
      </c>
      <c r="J565" s="8" t="n">
        <v>172865.67</v>
      </c>
      <c r="K565" s="9" t="n">
        <v>0.0894</v>
      </c>
      <c r="L565" s="9" t="n">
        <v>0.5671</v>
      </c>
      <c r="M565" s="10" t="n">
        <f aca="false">J565*(1-K565)</f>
        <v>157411.479102</v>
      </c>
      <c r="N565" s="10" t="n">
        <f aca="false">M565*L565</f>
        <v>89268.0497987442</v>
      </c>
      <c r="O565" s="10" t="n">
        <f aca="false">M565-N565</f>
        <v>68143.4293032558</v>
      </c>
      <c r="P565" s="10" t="n">
        <f aca="false">O565-I565</f>
        <v>-4569.39488074421</v>
      </c>
      <c r="Q565" s="10" t="n">
        <f aca="false">(J565-D565)*(1-E565)*(1-F565)</f>
        <v>-3497.40991599999</v>
      </c>
      <c r="R565" s="10" t="n">
        <f aca="false">J565*(E565-K565)*(1-F565)</f>
        <v>45.6365368800003</v>
      </c>
      <c r="S565" s="10" t="n">
        <f aca="false">M565*(F565-L565)</f>
        <v>-1117.6215016242</v>
      </c>
      <c r="T565" s="10" t="n">
        <f aca="false">ROUND(P565-(Q565+R565+S565),2)</f>
        <v>-0</v>
      </c>
    </row>
    <row r="566" customFormat="false" ht="15" hidden="false" customHeight="true" outlineLevel="0" collapsed="false">
      <c r="A566" s="7" t="s">
        <v>55</v>
      </c>
      <c r="B566" s="7" t="s">
        <v>74</v>
      </c>
      <c r="C566" s="7" t="s">
        <v>71</v>
      </c>
      <c r="D566" s="8" t="n">
        <v>134952.61</v>
      </c>
      <c r="E566" s="9" t="n">
        <v>0.09</v>
      </c>
      <c r="F566" s="9" t="n">
        <v>0.56</v>
      </c>
      <c r="G566" s="10" t="n">
        <f aca="false">D566*(1-E566)</f>
        <v>122806.8751</v>
      </c>
      <c r="H566" s="10" t="n">
        <f aca="false">G566*F566</f>
        <v>68771.850056</v>
      </c>
      <c r="I566" s="10" t="n">
        <f aca="false">G566-H566</f>
        <v>54035.025044</v>
      </c>
      <c r="J566" s="8" t="n">
        <v>132659.99</v>
      </c>
      <c r="K566" s="9" t="n">
        <v>0.0873</v>
      </c>
      <c r="L566" s="9" t="n">
        <v>0.5759</v>
      </c>
      <c r="M566" s="10" t="n">
        <f aca="false">J566*(1-K566)</f>
        <v>121078.772873</v>
      </c>
      <c r="N566" s="10" t="n">
        <f aca="false">M566*L566</f>
        <v>69729.2652975607</v>
      </c>
      <c r="O566" s="10" t="n">
        <f aca="false">M566-N566</f>
        <v>51349.5075754393</v>
      </c>
      <c r="P566" s="10" t="n">
        <f aca="false">O566-I566</f>
        <v>-2685.51746856071</v>
      </c>
      <c r="Q566" s="10" t="n">
        <f aca="false">(J566-D566)*(1-E566)*(1-F566)</f>
        <v>-917.965047999998</v>
      </c>
      <c r="R566" s="10" t="n">
        <f aca="false">J566*(E566-K566)*(1-F566)</f>
        <v>157.60006812</v>
      </c>
      <c r="S566" s="10" t="n">
        <f aca="false">M566*(F566-L566)</f>
        <v>-1925.15248868069</v>
      </c>
      <c r="T566" s="10" t="n">
        <f aca="false">ROUND(P566-(Q566+R566+S566),2)</f>
        <v>-0</v>
      </c>
    </row>
    <row r="567" customFormat="false" ht="15" hidden="false" customHeight="true" outlineLevel="0" collapsed="false">
      <c r="A567" s="7" t="s">
        <v>56</v>
      </c>
      <c r="B567" s="7" t="s">
        <v>74</v>
      </c>
      <c r="C567" s="7" t="s">
        <v>71</v>
      </c>
      <c r="D567" s="8" t="n">
        <v>132916.83</v>
      </c>
      <c r="E567" s="9" t="n">
        <v>0.09</v>
      </c>
      <c r="F567" s="9" t="n">
        <v>0.56</v>
      </c>
      <c r="G567" s="10" t="n">
        <f aca="false">D567*(1-E567)</f>
        <v>120954.3153</v>
      </c>
      <c r="H567" s="10" t="n">
        <f aca="false">G567*F567</f>
        <v>67734.416568</v>
      </c>
      <c r="I567" s="10" t="n">
        <f aca="false">G567-H567</f>
        <v>53219.898732</v>
      </c>
      <c r="J567" s="8" t="n">
        <v>132371.2</v>
      </c>
      <c r="K567" s="9" t="n">
        <v>0.0796</v>
      </c>
      <c r="L567" s="9" t="n">
        <v>0.5719</v>
      </c>
      <c r="M567" s="10" t="n">
        <f aca="false">J567*(1-K567)</f>
        <v>121834.45248</v>
      </c>
      <c r="N567" s="10" t="n">
        <f aca="false">M567*L567</f>
        <v>69677.123373312</v>
      </c>
      <c r="O567" s="10" t="n">
        <f aca="false">M567-N567</f>
        <v>52157.329106688</v>
      </c>
      <c r="P567" s="10" t="n">
        <f aca="false">O567-I567</f>
        <v>-1062.56962531198</v>
      </c>
      <c r="Q567" s="10" t="n">
        <f aca="false">(J567-D567)*(1-E567)*(1-F567)</f>
        <v>-218.47025199999</v>
      </c>
      <c r="R567" s="10" t="n">
        <f aca="false">J567*(E567-K567)*(1-F567)</f>
        <v>605.7306112</v>
      </c>
      <c r="S567" s="10" t="n">
        <f aca="false">M567*(F567-L567)</f>
        <v>-1449.82998451199</v>
      </c>
      <c r="T567" s="10" t="n">
        <f aca="false">ROUND(P567-(Q567+R567+S567),2)</f>
        <v>0</v>
      </c>
    </row>
    <row r="568" customFormat="false" ht="15" hidden="false" customHeight="true" outlineLevel="0" collapsed="false">
      <c r="A568" s="7" t="s">
        <v>57</v>
      </c>
      <c r="B568" s="7" t="s">
        <v>74</v>
      </c>
      <c r="C568" s="7" t="s">
        <v>71</v>
      </c>
      <c r="D568" s="8" t="n">
        <v>144529.54</v>
      </c>
      <c r="E568" s="9" t="n">
        <v>0.09</v>
      </c>
      <c r="F568" s="9" t="n">
        <v>0.56</v>
      </c>
      <c r="G568" s="10" t="n">
        <f aca="false">D568*(1-E568)</f>
        <v>131521.8814</v>
      </c>
      <c r="H568" s="10" t="n">
        <f aca="false">G568*F568</f>
        <v>73652.253584</v>
      </c>
      <c r="I568" s="10" t="n">
        <f aca="false">G568-H568</f>
        <v>57869.627816</v>
      </c>
      <c r="J568" s="8" t="n">
        <v>137051.07</v>
      </c>
      <c r="K568" s="9" t="n">
        <v>0.0828</v>
      </c>
      <c r="L568" s="9" t="n">
        <v>0.5707</v>
      </c>
      <c r="M568" s="10" t="n">
        <f aca="false">J568*(1-K568)</f>
        <v>125703.241404</v>
      </c>
      <c r="N568" s="10" t="n">
        <f aca="false">M568*L568</f>
        <v>71738.8398692628</v>
      </c>
      <c r="O568" s="10" t="n">
        <f aca="false">M568-N568</f>
        <v>53964.4015347372</v>
      </c>
      <c r="P568" s="10" t="n">
        <f aca="false">O568-I568</f>
        <v>-3905.22628126279</v>
      </c>
      <c r="Q568" s="10" t="n">
        <f aca="false">(J568-D568)*(1-E568)*(1-F568)</f>
        <v>-2994.379388</v>
      </c>
      <c r="R568" s="10" t="n">
        <f aca="false">J568*(E568-K568)*(1-F568)</f>
        <v>434.17778976</v>
      </c>
      <c r="S568" s="10" t="n">
        <f aca="false">M568*(F568-L568)</f>
        <v>-1345.02468302279</v>
      </c>
      <c r="T568" s="10" t="n">
        <f aca="false">ROUND(P568-(Q568+R568+S568),2)</f>
        <v>0</v>
      </c>
    </row>
    <row r="569" customFormat="false" ht="15" hidden="false" customHeight="true" outlineLevel="0" collapsed="false">
      <c r="A569" s="7" t="s">
        <v>58</v>
      </c>
      <c r="B569" s="7" t="s">
        <v>74</v>
      </c>
      <c r="C569" s="7" t="s">
        <v>71</v>
      </c>
      <c r="D569" s="8" t="n">
        <v>150166.24</v>
      </c>
      <c r="E569" s="9" t="n">
        <v>0.09</v>
      </c>
      <c r="F569" s="9" t="n">
        <v>0.56</v>
      </c>
      <c r="G569" s="10" t="n">
        <f aca="false">D569*(1-E569)</f>
        <v>136651.2784</v>
      </c>
      <c r="H569" s="10" t="n">
        <f aca="false">G569*F569</f>
        <v>76524.715904</v>
      </c>
      <c r="I569" s="10" t="n">
        <f aca="false">G569-H569</f>
        <v>60126.562496</v>
      </c>
      <c r="J569" s="8" t="n">
        <v>157650.13</v>
      </c>
      <c r="K569" s="9" t="n">
        <v>0.0786</v>
      </c>
      <c r="L569" s="9" t="n">
        <v>0.553</v>
      </c>
      <c r="M569" s="10" t="n">
        <f aca="false">J569*(1-K569)</f>
        <v>145258.829782</v>
      </c>
      <c r="N569" s="10" t="n">
        <f aca="false">M569*L569</f>
        <v>80328.132869446</v>
      </c>
      <c r="O569" s="10" t="n">
        <f aca="false">M569-N569</f>
        <v>64930.696912554</v>
      </c>
      <c r="P569" s="10" t="n">
        <f aca="false">O569-I569</f>
        <v>4804.13441655401</v>
      </c>
      <c r="Q569" s="10" t="n">
        <f aca="false">(J569-D569)*(1-E569)*(1-F569)</f>
        <v>2996.54955600001</v>
      </c>
      <c r="R569" s="10" t="n">
        <f aca="false">J569*(E569-K569)*(1-F569)</f>
        <v>790.77305208</v>
      </c>
      <c r="S569" s="10" t="n">
        <f aca="false">M569*(F569-L569)</f>
        <v>1016.811808474</v>
      </c>
      <c r="T569" s="10" t="n">
        <f aca="false">ROUND(P569-(Q569+R569+S569),2)</f>
        <v>0</v>
      </c>
    </row>
    <row r="570" customFormat="false" ht="15" hidden="false" customHeight="true" outlineLevel="0" collapsed="false">
      <c r="A570" s="7" t="s">
        <v>59</v>
      </c>
      <c r="B570" s="7" t="s">
        <v>74</v>
      </c>
      <c r="C570" s="7" t="s">
        <v>71</v>
      </c>
      <c r="D570" s="8" t="n">
        <v>154325.37</v>
      </c>
      <c r="E570" s="9" t="n">
        <v>0.09</v>
      </c>
      <c r="F570" s="9" t="n">
        <v>0.56</v>
      </c>
      <c r="G570" s="10" t="n">
        <f aca="false">D570*(1-E570)</f>
        <v>140436.0867</v>
      </c>
      <c r="H570" s="10" t="n">
        <f aca="false">G570*F570</f>
        <v>78644.208552</v>
      </c>
      <c r="I570" s="10" t="n">
        <f aca="false">G570-H570</f>
        <v>61791.878148</v>
      </c>
      <c r="J570" s="8" t="n">
        <v>162363.22</v>
      </c>
      <c r="K570" s="9" t="n">
        <v>0.1011</v>
      </c>
      <c r="L570" s="9" t="n">
        <v>0.5645</v>
      </c>
      <c r="M570" s="10" t="n">
        <f aca="false">J570*(1-K570)</f>
        <v>145948.298458</v>
      </c>
      <c r="N570" s="10" t="n">
        <f aca="false">M570*L570</f>
        <v>82387.814479541</v>
      </c>
      <c r="O570" s="10" t="n">
        <f aca="false">M570-N570</f>
        <v>63560.483978459</v>
      </c>
      <c r="P570" s="10" t="n">
        <f aca="false">O570-I570</f>
        <v>1768.605830459</v>
      </c>
      <c r="Q570" s="10" t="n">
        <f aca="false">(J570-D570)*(1-E570)*(1-F570)</f>
        <v>3218.35514</v>
      </c>
      <c r="R570" s="10" t="n">
        <f aca="false">J570*(E570-K570)*(1-F570)</f>
        <v>-792.98196648</v>
      </c>
      <c r="S570" s="10" t="n">
        <f aca="false">M570*(F570-L570)</f>
        <v>-656.767343060993</v>
      </c>
      <c r="T570" s="10" t="n">
        <f aca="false">ROUND(P570-(Q570+R570+S570),2)</f>
        <v>-0</v>
      </c>
    </row>
    <row r="571" customFormat="false" ht="15" hidden="false" customHeight="true" outlineLevel="0" collapsed="false">
      <c r="A571" s="7" t="s">
        <v>60</v>
      </c>
      <c r="B571" s="7" t="s">
        <v>74</v>
      </c>
      <c r="C571" s="7" t="s">
        <v>71</v>
      </c>
      <c r="D571" s="8" t="n">
        <v>158528.27</v>
      </c>
      <c r="E571" s="9" t="n">
        <v>0.09</v>
      </c>
      <c r="F571" s="9" t="n">
        <v>0.56</v>
      </c>
      <c r="G571" s="10" t="n">
        <f aca="false">D571*(1-E571)</f>
        <v>144260.7257</v>
      </c>
      <c r="H571" s="10" t="n">
        <f aca="false">G571*F571</f>
        <v>80786.006392</v>
      </c>
      <c r="I571" s="10" t="n">
        <f aca="false">G571-H571</f>
        <v>63474.719308</v>
      </c>
      <c r="J571" s="8" t="n">
        <v>156494.89</v>
      </c>
      <c r="K571" s="9" t="n">
        <v>0.0913</v>
      </c>
      <c r="L571" s="9" t="n">
        <v>0.562</v>
      </c>
      <c r="M571" s="10" t="n">
        <f aca="false">J571*(1-K571)</f>
        <v>142206.906543</v>
      </c>
      <c r="N571" s="10" t="n">
        <f aca="false">M571*L571</f>
        <v>79920.281477166</v>
      </c>
      <c r="O571" s="10" t="n">
        <f aca="false">M571-N571</f>
        <v>62286.625065834</v>
      </c>
      <c r="P571" s="10" t="n">
        <f aca="false">O571-I571</f>
        <v>-1188.09424216599</v>
      </c>
      <c r="Q571" s="10" t="n">
        <f aca="false">(J571-D571)*(1-E571)*(1-F571)</f>
        <v>-814.16535199999</v>
      </c>
      <c r="R571" s="10" t="n">
        <f aca="false">J571*(E571-K571)*(1-F571)</f>
        <v>-89.5150770800007</v>
      </c>
      <c r="S571" s="10" t="n">
        <f aca="false">M571*(F571-L571)</f>
        <v>-284.413813086</v>
      </c>
      <c r="T571" s="10" t="n">
        <f aca="false">ROUND(P571-(Q571+R571+S571),2)</f>
        <v>0</v>
      </c>
    </row>
    <row r="572" customFormat="false" ht="15" hidden="false" customHeight="true" outlineLevel="0" collapsed="false">
      <c r="A572" s="7" t="s">
        <v>61</v>
      </c>
      <c r="B572" s="7" t="s">
        <v>74</v>
      </c>
      <c r="C572" s="7" t="s">
        <v>71</v>
      </c>
      <c r="D572" s="8" t="n">
        <v>156514.38</v>
      </c>
      <c r="E572" s="9" t="n">
        <v>0.09</v>
      </c>
      <c r="F572" s="9" t="n">
        <v>0.56</v>
      </c>
      <c r="G572" s="10" t="n">
        <f aca="false">D572*(1-E572)</f>
        <v>142428.0858</v>
      </c>
      <c r="H572" s="10" t="n">
        <f aca="false">G572*F572</f>
        <v>79759.728048</v>
      </c>
      <c r="I572" s="10" t="n">
        <f aca="false">G572-H572</f>
        <v>62668.357752</v>
      </c>
      <c r="J572" s="8" t="n">
        <v>160114.24</v>
      </c>
      <c r="K572" s="9" t="n">
        <v>0.0899</v>
      </c>
      <c r="L572" s="9" t="n">
        <v>0.5565</v>
      </c>
      <c r="M572" s="10" t="n">
        <f aca="false">J572*(1-K572)</f>
        <v>145719.969824</v>
      </c>
      <c r="N572" s="10" t="n">
        <f aca="false">M572*L572</f>
        <v>81093.163207056</v>
      </c>
      <c r="O572" s="10" t="n">
        <f aca="false">M572-N572</f>
        <v>64626.806616944</v>
      </c>
      <c r="P572" s="10" t="n">
        <f aca="false">O572-I572</f>
        <v>1958.448864944</v>
      </c>
      <c r="Q572" s="10" t="n">
        <f aca="false">(J572-D572)*(1-E572)*(1-F572)</f>
        <v>1441.38394399999</v>
      </c>
      <c r="R572" s="10" t="n">
        <f aca="false">J572*(E572-K572)*(1-F572)</f>
        <v>7.0450265600002</v>
      </c>
      <c r="S572" s="10" t="n">
        <f aca="false">M572*(F572-L572)</f>
        <v>510.019894384009</v>
      </c>
      <c r="T572" s="10" t="n">
        <f aca="false">ROUND(P572-(Q572+R572+S572),2)</f>
        <v>0</v>
      </c>
    </row>
    <row r="573" customFormat="false" ht="15" hidden="false" customHeight="true" outlineLevel="0" collapsed="false">
      <c r="A573" s="7" t="s">
        <v>62</v>
      </c>
      <c r="B573" s="7" t="s">
        <v>74</v>
      </c>
      <c r="C573" s="7" t="s">
        <v>71</v>
      </c>
      <c r="D573" s="8" t="n">
        <v>162337.15</v>
      </c>
      <c r="E573" s="9" t="n">
        <v>0.09</v>
      </c>
      <c r="F573" s="9" t="n">
        <v>0.56</v>
      </c>
      <c r="G573" s="10" t="n">
        <f aca="false">D573*(1-E573)</f>
        <v>147726.8065</v>
      </c>
      <c r="H573" s="10" t="n">
        <f aca="false">G573*F573</f>
        <v>82727.01164</v>
      </c>
      <c r="I573" s="10" t="n">
        <f aca="false">G573-H573</f>
        <v>64999.79486</v>
      </c>
      <c r="J573" s="8" t="n">
        <v>149365.29</v>
      </c>
      <c r="K573" s="9" t="n">
        <v>0.0929</v>
      </c>
      <c r="L573" s="9" t="n">
        <v>0.562</v>
      </c>
      <c r="M573" s="10" t="n">
        <f aca="false">J573*(1-K573)</f>
        <v>135489.254559</v>
      </c>
      <c r="N573" s="10" t="n">
        <f aca="false">M573*L573</f>
        <v>76144.961062158</v>
      </c>
      <c r="O573" s="10" t="n">
        <f aca="false">M573-N573</f>
        <v>59344.293496842</v>
      </c>
      <c r="P573" s="10" t="n">
        <f aca="false">O573-I573</f>
        <v>-5655.50136315799</v>
      </c>
      <c r="Q573" s="10" t="n">
        <f aca="false">(J573-D573)*(1-E573)*(1-F573)</f>
        <v>-5193.93274399999</v>
      </c>
      <c r="R573" s="10" t="n">
        <f aca="false">J573*(E573-K573)*(1-F573)</f>
        <v>-190.59011004</v>
      </c>
      <c r="S573" s="10" t="n">
        <f aca="false">M573*(F573-L573)</f>
        <v>-270.978509118</v>
      </c>
      <c r="T573" s="10" t="n">
        <f aca="false">ROUND(P573-(Q573+R573+S573),2)</f>
        <v>0</v>
      </c>
    </row>
    <row r="574" customFormat="false" ht="15" hidden="false" customHeight="true" outlineLevel="0" collapsed="false">
      <c r="A574" s="7" t="s">
        <v>63</v>
      </c>
      <c r="B574" s="7" t="s">
        <v>74</v>
      </c>
      <c r="C574" s="7" t="s">
        <v>71</v>
      </c>
      <c r="D574" s="8" t="n">
        <v>166638.56</v>
      </c>
      <c r="E574" s="9" t="n">
        <v>0.09</v>
      </c>
      <c r="F574" s="9" t="n">
        <v>0.56</v>
      </c>
      <c r="G574" s="10" t="n">
        <f aca="false">D574*(1-E574)</f>
        <v>151641.0896</v>
      </c>
      <c r="H574" s="10" t="n">
        <f aca="false">G574*F574</f>
        <v>84919.010176</v>
      </c>
      <c r="I574" s="10" t="n">
        <f aca="false">G574-H574</f>
        <v>66722.079424</v>
      </c>
      <c r="J574" s="8" t="n">
        <v>165645.63</v>
      </c>
      <c r="K574" s="9" t="n">
        <v>0.085</v>
      </c>
      <c r="L574" s="9" t="n">
        <v>0.5453</v>
      </c>
      <c r="M574" s="10" t="n">
        <f aca="false">J574*(1-K574)</f>
        <v>151565.75145</v>
      </c>
      <c r="N574" s="10" t="n">
        <f aca="false">M574*L574</f>
        <v>82648.804265685</v>
      </c>
      <c r="O574" s="10" t="n">
        <f aca="false">M574-N574</f>
        <v>68916.947184315</v>
      </c>
      <c r="P574" s="10" t="n">
        <f aca="false">O574-I574</f>
        <v>2194.86776031501</v>
      </c>
      <c r="Q574" s="10" t="n">
        <f aca="false">(J574-D574)*(1-E574)*(1-F574)</f>
        <v>-397.569171999997</v>
      </c>
      <c r="R574" s="10" t="n">
        <f aca="false">J574*(E574-K574)*(1-F574)</f>
        <v>364.420385999999</v>
      </c>
      <c r="S574" s="10" t="n">
        <f aca="false">M574*(F574-L574)</f>
        <v>2228.01654631501</v>
      </c>
      <c r="T574" s="10" t="n">
        <f aca="false">ROUND(P574-(Q574+R574+S574),2)</f>
        <v>0</v>
      </c>
    </row>
    <row r="575" customFormat="false" ht="15" hidden="false" customHeight="true" outlineLevel="0" collapsed="false">
      <c r="A575" s="7" t="s">
        <v>64</v>
      </c>
      <c r="B575" s="7" t="s">
        <v>74</v>
      </c>
      <c r="C575" s="7" t="s">
        <v>71</v>
      </c>
      <c r="D575" s="8" t="n">
        <v>175777.69</v>
      </c>
      <c r="E575" s="9" t="n">
        <v>0.09</v>
      </c>
      <c r="F575" s="9" t="n">
        <v>0.56</v>
      </c>
      <c r="G575" s="10" t="n">
        <f aca="false">D575*(1-E575)</f>
        <v>159957.6979</v>
      </c>
      <c r="H575" s="10" t="n">
        <f aca="false">G575*F575</f>
        <v>89576.310824</v>
      </c>
      <c r="I575" s="10" t="n">
        <f aca="false">G575-H575</f>
        <v>70381.387076</v>
      </c>
      <c r="J575" s="8" t="n">
        <v>173874.36</v>
      </c>
      <c r="K575" s="9" t="n">
        <v>0.1004</v>
      </c>
      <c r="L575" s="9" t="n">
        <v>0.5507</v>
      </c>
      <c r="M575" s="10" t="n">
        <f aca="false">J575*(1-K575)</f>
        <v>156417.374256</v>
      </c>
      <c r="N575" s="10" t="n">
        <f aca="false">M575*L575</f>
        <v>86139.0480027792</v>
      </c>
      <c r="O575" s="10" t="n">
        <f aca="false">M575-N575</f>
        <v>70278.3262532208</v>
      </c>
      <c r="P575" s="10" t="n">
        <f aca="false">O575-I575</f>
        <v>-103.060822779182</v>
      </c>
      <c r="Q575" s="10" t="n">
        <f aca="false">(J575-D575)*(1-E575)*(1-F575)</f>
        <v>-762.093332000007</v>
      </c>
      <c r="R575" s="10" t="n">
        <f aca="false">J575*(E575-K575)*(1-F575)</f>
        <v>-795.64907136</v>
      </c>
      <c r="S575" s="10" t="n">
        <f aca="false">M575*(F575-L575)</f>
        <v>1454.68158058081</v>
      </c>
      <c r="T575" s="10" t="n">
        <f aca="false">ROUND(P575-(Q575+R575+S575),2)</f>
        <v>0</v>
      </c>
    </row>
    <row r="576" customFormat="false" ht="15" hidden="false" customHeight="true" outlineLevel="0" collapsed="false">
      <c r="A576" s="7" t="s">
        <v>65</v>
      </c>
      <c r="B576" s="7" t="s">
        <v>74</v>
      </c>
      <c r="C576" s="7" t="s">
        <v>71</v>
      </c>
      <c r="D576" s="8" t="n">
        <v>209160.12</v>
      </c>
      <c r="E576" s="9" t="n">
        <v>0.09</v>
      </c>
      <c r="F576" s="9" t="n">
        <v>0.56</v>
      </c>
      <c r="G576" s="10" t="n">
        <f aca="false">D576*(1-E576)</f>
        <v>190335.7092</v>
      </c>
      <c r="H576" s="10" t="n">
        <f aca="false">G576*F576</f>
        <v>106587.997152</v>
      </c>
      <c r="I576" s="10" t="n">
        <f aca="false">G576-H576</f>
        <v>83747.712048</v>
      </c>
      <c r="J576" s="8" t="n">
        <v>223130.16</v>
      </c>
      <c r="K576" s="9" t="n">
        <v>0.1036</v>
      </c>
      <c r="L576" s="9" t="n">
        <v>0.5646</v>
      </c>
      <c r="M576" s="10" t="n">
        <f aca="false">J576*(1-K576)</f>
        <v>200013.875424</v>
      </c>
      <c r="N576" s="10" t="n">
        <f aca="false">M576*L576</f>
        <v>112927.83406439</v>
      </c>
      <c r="O576" s="10" t="n">
        <f aca="false">M576-N576</f>
        <v>87086.0413596096</v>
      </c>
      <c r="P576" s="10" t="n">
        <f aca="false">O576-I576</f>
        <v>3338.3293116096</v>
      </c>
      <c r="Q576" s="10" t="n">
        <f aca="false">(J576-D576)*(1-E576)*(1-F576)</f>
        <v>5593.604016</v>
      </c>
      <c r="R576" s="10" t="n">
        <f aca="false">J576*(E576-K576)*(1-F576)</f>
        <v>-1335.21087744</v>
      </c>
      <c r="S576" s="10" t="n">
        <f aca="false">M576*(F576-L576)</f>
        <v>-920.063826950388</v>
      </c>
      <c r="T576" s="10" t="n">
        <f aca="false">ROUND(P576-(Q576+R576+S576),2)</f>
        <v>-0</v>
      </c>
    </row>
    <row r="577" customFormat="false" ht="15" hidden="false" customHeight="true" outlineLevel="0" collapsed="false">
      <c r="A577" s="7" t="s">
        <v>66</v>
      </c>
      <c r="B577" s="7" t="s">
        <v>74</v>
      </c>
      <c r="C577" s="7" t="s">
        <v>71</v>
      </c>
      <c r="D577" s="8" t="n">
        <v>197624.03</v>
      </c>
      <c r="E577" s="9" t="n">
        <v>0.09</v>
      </c>
      <c r="F577" s="9" t="n">
        <v>0.56</v>
      </c>
      <c r="G577" s="10" t="n">
        <f aca="false">D577*(1-E577)</f>
        <v>179837.8673</v>
      </c>
      <c r="H577" s="10" t="n">
        <f aca="false">G577*F577</f>
        <v>100709.205688</v>
      </c>
      <c r="I577" s="10" t="n">
        <f aca="false">G577-H577</f>
        <v>79128.661612</v>
      </c>
      <c r="J577" s="8" t="n">
        <v>199553.85</v>
      </c>
      <c r="K577" s="9" t="n">
        <v>0.0735</v>
      </c>
      <c r="L577" s="9" t="n">
        <v>0.553</v>
      </c>
      <c r="M577" s="10" t="n">
        <f aca="false">J577*(1-K577)</f>
        <v>184886.642025</v>
      </c>
      <c r="N577" s="10" t="n">
        <f aca="false">M577*L577</f>
        <v>102242.313039825</v>
      </c>
      <c r="O577" s="10" t="n">
        <f aca="false">M577-N577</f>
        <v>82644.328985175</v>
      </c>
      <c r="P577" s="10" t="n">
        <f aca="false">O577-I577</f>
        <v>3515.66737317501</v>
      </c>
      <c r="Q577" s="10" t="n">
        <f aca="false">(J577-D577)*(1-E577)*(1-F577)</f>
        <v>772.699928000003</v>
      </c>
      <c r="R577" s="10" t="n">
        <f aca="false">J577*(E577-K577)*(1-F577)</f>
        <v>1448.760951</v>
      </c>
      <c r="S577" s="10" t="n">
        <f aca="false">M577*(F577-L577)</f>
        <v>1294.206494175</v>
      </c>
      <c r="T577" s="10" t="n">
        <f aca="false">ROUND(P577-(Q577+R577+S577),2)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1"/>
  </cols>
  <sheetData>
    <row r="1" customFormat="false" ht="15.75" hidden="false" customHeight="true" outlineLevel="0" collapsed="false">
      <c r="A1" s="11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12" t="s">
        <v>23</v>
      </c>
      <c r="B4" s="12" t="s">
        <v>22</v>
      </c>
      <c r="C4" s="12" t="s">
        <v>29</v>
      </c>
      <c r="D4" s="12" t="s">
        <v>35</v>
      </c>
      <c r="E4" s="12" t="s">
        <v>77</v>
      </c>
      <c r="F4" s="12" t="s">
        <v>78</v>
      </c>
      <c r="H4" s="12" t="s">
        <v>79</v>
      </c>
    </row>
    <row r="5" customFormat="false" ht="15" hidden="false" customHeight="true" outlineLevel="0" collapsed="false">
      <c r="A5" s="13" t="s">
        <v>43</v>
      </c>
      <c r="B5" s="13" t="s">
        <v>72</v>
      </c>
      <c r="C5" s="10" t="n">
        <f aca="false">SUMIFS('Monthly Detail'!$I$2:$I$577,'Monthly Detail'!$C$2:$C$577,A5,'Monthly Detail'!$B$2:$B$577,B5)</f>
        <v>1995639.4431</v>
      </c>
      <c r="D5" s="10" t="n">
        <f aca="false">SUMIFS('Monthly Detail'!$O$2:$O$577,'Monthly Detail'!$C$2:$C$577,A5,'Monthly Detail'!$B$2:$B$577,B5)</f>
        <v>2000365.2585213</v>
      </c>
      <c r="E5" s="10" t="n">
        <f aca="false">D5-C5</f>
        <v>4725.81542130117</v>
      </c>
      <c r="F5" s="14" t="n">
        <f aca="false">IFERROR(E5/C5,0)</f>
        <v>0.00236807076430608</v>
      </c>
      <c r="H5" s="13" t="n">
        <f aca="false">E5+ROW()/1000000</f>
        <v>4725.81542630117</v>
      </c>
    </row>
    <row r="6" customFormat="false" ht="15" hidden="false" customHeight="true" outlineLevel="0" collapsed="false">
      <c r="A6" s="13" t="s">
        <v>43</v>
      </c>
      <c r="B6" s="13" t="s">
        <v>42</v>
      </c>
      <c r="C6" s="10" t="n">
        <f aca="false">SUMIFS('Monthly Detail'!$I$2:$I$577,'Monthly Detail'!$C$2:$C$577,A6,'Monthly Detail'!$B$2:$B$577,B6)</f>
        <v>1621646.73846</v>
      </c>
      <c r="D6" s="10" t="n">
        <f aca="false">SUMIFS('Monthly Detail'!$O$2:$O$577,'Monthly Detail'!$C$2:$C$577,A6,'Monthly Detail'!$B$2:$B$577,B6)</f>
        <v>1513848.94400633</v>
      </c>
      <c r="E6" s="10" t="n">
        <f aca="false">D6-C6</f>
        <v>-107797.794453674</v>
      </c>
      <c r="F6" s="14" t="n">
        <f aca="false">IFERROR(E6/C6,0)</f>
        <v>-0.0664742769785019</v>
      </c>
      <c r="H6" s="13" t="n">
        <f aca="false">E6+ROW()/1000000</f>
        <v>-107797.794447674</v>
      </c>
    </row>
    <row r="7" customFormat="false" ht="15" hidden="false" customHeight="true" outlineLevel="0" collapsed="false">
      <c r="A7" s="13" t="s">
        <v>43</v>
      </c>
      <c r="B7" s="13" t="s">
        <v>73</v>
      </c>
      <c r="C7" s="10" t="n">
        <f aca="false">SUMIFS('Monthly Detail'!$I$2:$I$577,'Monthly Detail'!$C$2:$C$577,A7,'Monthly Detail'!$B$2:$B$577,B7)</f>
        <v>2557952.34102</v>
      </c>
      <c r="D7" s="10" t="n">
        <f aca="false">SUMIFS('Monthly Detail'!$O$2:$O$577,'Monthly Detail'!$C$2:$C$577,A7,'Monthly Detail'!$B$2:$B$577,B7)</f>
        <v>2570412.18157659</v>
      </c>
      <c r="E7" s="10" t="n">
        <f aca="false">D7-C7</f>
        <v>12459.8405565852</v>
      </c>
      <c r="F7" s="14" t="n">
        <f aca="false">IFERROR(E7/C7,0)</f>
        <v>0.0048710213856513</v>
      </c>
      <c r="H7" s="13" t="n">
        <f aca="false">E7+ROW()/1000000</f>
        <v>12459.8405635852</v>
      </c>
    </row>
    <row r="8" customFormat="false" ht="15" hidden="false" customHeight="true" outlineLevel="0" collapsed="false">
      <c r="A8" s="13" t="s">
        <v>43</v>
      </c>
      <c r="B8" s="13" t="s">
        <v>74</v>
      </c>
      <c r="C8" s="10" t="n">
        <f aca="false">SUMIFS('Monthly Detail'!$I$2:$I$577,'Monthly Detail'!$C$2:$C$577,A8,'Monthly Detail'!$B$2:$B$577,B8)</f>
        <v>2167250.96988</v>
      </c>
      <c r="D8" s="10" t="n">
        <f aca="false">SUMIFS('Monthly Detail'!$O$2:$O$577,'Monthly Detail'!$C$2:$C$577,A8,'Monthly Detail'!$B$2:$B$577,B8)</f>
        <v>1963995.41845621</v>
      </c>
      <c r="E8" s="10" t="n">
        <f aca="false">D8-C8</f>
        <v>-203255.551423786</v>
      </c>
      <c r="F8" s="14" t="n">
        <f aca="false">IFERROR(E8/C8,0)</f>
        <v>-0.093784962724017</v>
      </c>
      <c r="H8" s="13" t="n">
        <f aca="false">E8+ROW()/1000000</f>
        <v>-203255.551415786</v>
      </c>
    </row>
    <row r="9" customFormat="false" ht="15" hidden="false" customHeight="true" outlineLevel="0" collapsed="false">
      <c r="A9" s="13" t="s">
        <v>67</v>
      </c>
      <c r="B9" s="13" t="s">
        <v>72</v>
      </c>
      <c r="C9" s="10" t="n">
        <f aca="false">SUMIFS('Monthly Detail'!$I$2:$I$577,'Monthly Detail'!$C$2:$C$577,A9,'Monthly Detail'!$B$2:$B$577,B9)</f>
        <v>1336444.043088</v>
      </c>
      <c r="D9" s="10" t="n">
        <f aca="false">SUMIFS('Monthly Detail'!$O$2:$O$577,'Monthly Detail'!$C$2:$C$577,A9,'Monthly Detail'!$B$2:$B$577,B9)</f>
        <v>1317665.11575796</v>
      </c>
      <c r="E9" s="10" t="n">
        <f aca="false">D9-C9</f>
        <v>-18778.9273300418</v>
      </c>
      <c r="F9" s="14" t="n">
        <f aca="false">IFERROR(E9/C9,0)</f>
        <v>-0.0140514130966913</v>
      </c>
      <c r="H9" s="13" t="n">
        <f aca="false">E9+ROW()/1000000</f>
        <v>-18778.9273210418</v>
      </c>
    </row>
    <row r="10" customFormat="false" ht="15" hidden="false" customHeight="true" outlineLevel="0" collapsed="false">
      <c r="A10" s="13" t="s">
        <v>67</v>
      </c>
      <c r="B10" s="13" t="s">
        <v>42</v>
      </c>
      <c r="C10" s="10" t="n">
        <f aca="false">SUMIFS('Monthly Detail'!$I$2:$I$577,'Monthly Detail'!$C$2:$C$577,A10,'Monthly Detail'!$B$2:$B$577,B10)</f>
        <v>1727361.085296</v>
      </c>
      <c r="D10" s="10" t="n">
        <f aca="false">SUMIFS('Monthly Detail'!$O$2:$O$577,'Monthly Detail'!$C$2:$C$577,A10,'Monthly Detail'!$B$2:$B$577,B10)</f>
        <v>1715965.96314335</v>
      </c>
      <c r="E10" s="10" t="n">
        <f aca="false">D10-C10</f>
        <v>-11395.1221526486</v>
      </c>
      <c r="F10" s="14" t="n">
        <f aca="false">IFERROR(E10/C10,0)</f>
        <v>-0.00659683852417919</v>
      </c>
      <c r="H10" s="13" t="n">
        <f aca="false">E10+ROW()/1000000</f>
        <v>-11395.1221426486</v>
      </c>
    </row>
    <row r="11" customFormat="false" ht="15" hidden="false" customHeight="true" outlineLevel="0" collapsed="false">
      <c r="A11" s="13" t="s">
        <v>67</v>
      </c>
      <c r="B11" s="13" t="s">
        <v>73</v>
      </c>
      <c r="C11" s="10" t="n">
        <f aca="false">SUMIFS('Monthly Detail'!$I$2:$I$577,'Monthly Detail'!$C$2:$C$577,A11,'Monthly Detail'!$B$2:$B$577,B11)</f>
        <v>1723221.036768</v>
      </c>
      <c r="D11" s="10" t="n">
        <f aca="false">SUMIFS('Monthly Detail'!$O$2:$O$577,'Monthly Detail'!$C$2:$C$577,A11,'Monthly Detail'!$B$2:$B$577,B11)</f>
        <v>1717158.12278946</v>
      </c>
      <c r="E11" s="10" t="n">
        <f aca="false">D11-C11</f>
        <v>-6062.91397853801</v>
      </c>
      <c r="F11" s="14" t="n">
        <f aca="false">IFERROR(E11/C11,0)</f>
        <v>-0.00351836116735747</v>
      </c>
      <c r="H11" s="13" t="n">
        <f aca="false">E11+ROW()/1000000</f>
        <v>-6062.91396753801</v>
      </c>
    </row>
    <row r="12" customFormat="false" ht="15" hidden="false" customHeight="true" outlineLevel="0" collapsed="false">
      <c r="A12" s="13" t="s">
        <v>67</v>
      </c>
      <c r="B12" s="13" t="s">
        <v>74</v>
      </c>
      <c r="C12" s="10" t="n">
        <f aca="false">SUMIFS('Monthly Detail'!$I$2:$I$577,'Monthly Detail'!$C$2:$C$577,A12,'Monthly Detail'!$B$2:$B$577,B12)</f>
        <v>1860870.011616</v>
      </c>
      <c r="D12" s="10" t="n">
        <f aca="false">SUMIFS('Monthly Detail'!$O$2:$O$577,'Monthly Detail'!$C$2:$C$577,A12,'Monthly Detail'!$B$2:$B$577,B12)</f>
        <v>1884925.81436718</v>
      </c>
      <c r="E12" s="10" t="n">
        <f aca="false">D12-C12</f>
        <v>24055.8027511837</v>
      </c>
      <c r="F12" s="14" t="n">
        <f aca="false">IFERROR(E12/C12,0)</f>
        <v>0.0129271806203666</v>
      </c>
      <c r="H12" s="13" t="n">
        <f aca="false">E12+ROW()/1000000</f>
        <v>24055.8027631837</v>
      </c>
    </row>
    <row r="13" customFormat="false" ht="15" hidden="false" customHeight="true" outlineLevel="0" collapsed="false">
      <c r="A13" s="13" t="s">
        <v>68</v>
      </c>
      <c r="B13" s="13" t="s">
        <v>72</v>
      </c>
      <c r="C13" s="10" t="n">
        <f aca="false">SUMIFS('Monthly Detail'!$I$2:$I$577,'Monthly Detail'!$C$2:$C$577,A13,'Monthly Detail'!$B$2:$B$577,B13)</f>
        <v>1148097.31902</v>
      </c>
      <c r="D13" s="10" t="n">
        <f aca="false">SUMIFS('Monthly Detail'!$O$2:$O$577,'Monthly Detail'!$C$2:$C$577,A13,'Monthly Detail'!$B$2:$B$577,B13)</f>
        <v>1168841.75823372</v>
      </c>
      <c r="E13" s="10" t="n">
        <f aca="false">D13-C13</f>
        <v>20744.439213719</v>
      </c>
      <c r="F13" s="14" t="n">
        <f aca="false">IFERROR(E13/C13,0)</f>
        <v>0.0180685372834301</v>
      </c>
      <c r="H13" s="13" t="n">
        <f aca="false">E13+ROW()/1000000</f>
        <v>20744.439226719</v>
      </c>
    </row>
    <row r="14" customFormat="false" ht="15" hidden="false" customHeight="true" outlineLevel="0" collapsed="false">
      <c r="A14" s="13" t="s">
        <v>68</v>
      </c>
      <c r="B14" s="13" t="s">
        <v>42</v>
      </c>
      <c r="C14" s="10" t="n">
        <f aca="false">SUMIFS('Monthly Detail'!$I$2:$I$577,'Monthly Detail'!$C$2:$C$577,A14,'Monthly Detail'!$B$2:$B$577,B14)</f>
        <v>1232717.5611</v>
      </c>
      <c r="D14" s="10" t="n">
        <f aca="false">SUMIFS('Monthly Detail'!$O$2:$O$577,'Monthly Detail'!$C$2:$C$577,A14,'Monthly Detail'!$B$2:$B$577,B14)</f>
        <v>1258348.87184046</v>
      </c>
      <c r="E14" s="10" t="n">
        <f aca="false">D14-C14</f>
        <v>25631.3107404639</v>
      </c>
      <c r="F14" s="14" t="n">
        <f aca="false">IFERROR(E14/C14,0)</f>
        <v>0.0207925250270566</v>
      </c>
      <c r="H14" s="13" t="n">
        <f aca="false">E14+ROW()/1000000</f>
        <v>25631.3107544639</v>
      </c>
    </row>
    <row r="15" customFormat="false" ht="15" hidden="false" customHeight="true" outlineLevel="0" collapsed="false">
      <c r="A15" s="13" t="s">
        <v>68</v>
      </c>
      <c r="B15" s="13" t="s">
        <v>73</v>
      </c>
      <c r="C15" s="10" t="n">
        <f aca="false">SUMIFS('Monthly Detail'!$I$2:$I$577,'Monthly Detail'!$C$2:$C$577,A15,'Monthly Detail'!$B$2:$B$577,B15)</f>
        <v>1556227.64772</v>
      </c>
      <c r="D15" s="10" t="n">
        <f aca="false">SUMIFS('Monthly Detail'!$O$2:$O$577,'Monthly Detail'!$C$2:$C$577,A15,'Monthly Detail'!$B$2:$B$577,B15)</f>
        <v>1562236.58912026</v>
      </c>
      <c r="E15" s="10" t="n">
        <f aca="false">D15-C15</f>
        <v>6008.94140026369</v>
      </c>
      <c r="F15" s="14" t="n">
        <f aca="false">IFERROR(E15/C15,0)</f>
        <v>0.00386122262322436</v>
      </c>
      <c r="H15" s="13" t="n">
        <f aca="false">E15+ROW()/1000000</f>
        <v>6008.94141526369</v>
      </c>
    </row>
    <row r="16" customFormat="false" ht="15" hidden="false" customHeight="true" outlineLevel="0" collapsed="false">
      <c r="A16" s="13" t="s">
        <v>68</v>
      </c>
      <c r="B16" s="13" t="s">
        <v>74</v>
      </c>
      <c r="C16" s="10" t="n">
        <f aca="false">SUMIFS('Monthly Detail'!$I$2:$I$577,'Monthly Detail'!$C$2:$C$577,A16,'Monthly Detail'!$B$2:$B$577,B16)</f>
        <v>1846654.34436</v>
      </c>
      <c r="D16" s="10" t="n">
        <f aca="false">SUMIFS('Monthly Detail'!$O$2:$O$577,'Monthly Detail'!$C$2:$C$577,A16,'Monthly Detail'!$B$2:$B$577,B16)</f>
        <v>1832904.15193677</v>
      </c>
      <c r="E16" s="10" t="n">
        <f aca="false">D16-C16</f>
        <v>-13750.1924232277</v>
      </c>
      <c r="F16" s="14" t="n">
        <f aca="false">IFERROR(E16/C16,0)</f>
        <v>-0.0074460022609121</v>
      </c>
      <c r="H16" s="13" t="n">
        <f aca="false">E16+ROW()/1000000</f>
        <v>-13750.1924072277</v>
      </c>
    </row>
    <row r="17" customFormat="false" ht="15" hidden="false" customHeight="true" outlineLevel="0" collapsed="false">
      <c r="A17" s="13" t="s">
        <v>70</v>
      </c>
      <c r="B17" s="13" t="s">
        <v>72</v>
      </c>
      <c r="C17" s="10" t="n">
        <f aca="false">SUMIFS('Monthly Detail'!$I$2:$I$577,'Monthly Detail'!$C$2:$C$577,A17,'Monthly Detail'!$B$2:$B$577,B17)</f>
        <v>900124.81836</v>
      </c>
      <c r="D17" s="10" t="n">
        <f aca="false">SUMIFS('Monthly Detail'!$O$2:$O$577,'Monthly Detail'!$C$2:$C$577,A17,'Monthly Detail'!$B$2:$B$577,B17)</f>
        <v>869338.732349868</v>
      </c>
      <c r="E17" s="10" t="n">
        <f aca="false">D17-C17</f>
        <v>-30786.086010132</v>
      </c>
      <c r="F17" s="14" t="n">
        <f aca="false">IFERROR(E17/C17,0)</f>
        <v>-0.0342020188558108</v>
      </c>
      <c r="H17" s="13" t="n">
        <f aca="false">E17+ROW()/1000000</f>
        <v>-30786.085993132</v>
      </c>
    </row>
    <row r="18" customFormat="false" ht="15" hidden="false" customHeight="true" outlineLevel="0" collapsed="false">
      <c r="A18" s="13" t="s">
        <v>70</v>
      </c>
      <c r="B18" s="13" t="s">
        <v>42</v>
      </c>
      <c r="C18" s="10" t="n">
        <f aca="false">SUMIFS('Monthly Detail'!$I$2:$I$577,'Monthly Detail'!$C$2:$C$577,A18,'Monthly Detail'!$B$2:$B$577,B18)</f>
        <v>879086.96208</v>
      </c>
      <c r="D18" s="10" t="n">
        <f aca="false">SUMIFS('Monthly Detail'!$O$2:$O$577,'Monthly Detail'!$C$2:$C$577,A18,'Monthly Detail'!$B$2:$B$577,B18)</f>
        <v>870974.024348925</v>
      </c>
      <c r="E18" s="10" t="n">
        <f aca="false">D18-C18</f>
        <v>-8112.93773107464</v>
      </c>
      <c r="F18" s="14" t="n">
        <f aca="false">IFERROR(E18/C18,0)</f>
        <v>-0.00922882272292912</v>
      </c>
      <c r="H18" s="13" t="n">
        <f aca="false">E18+ROW()/1000000</f>
        <v>-8112.93771307464</v>
      </c>
    </row>
    <row r="19" customFormat="false" ht="15" hidden="false" customHeight="true" outlineLevel="0" collapsed="false">
      <c r="A19" s="13" t="s">
        <v>70</v>
      </c>
      <c r="B19" s="13" t="s">
        <v>73</v>
      </c>
      <c r="C19" s="10" t="n">
        <f aca="false">SUMIFS('Monthly Detail'!$I$2:$I$577,'Monthly Detail'!$C$2:$C$577,A19,'Monthly Detail'!$B$2:$B$577,B19)</f>
        <v>990015.7866</v>
      </c>
      <c r="D19" s="10" t="n">
        <f aca="false">SUMIFS('Monthly Detail'!$O$2:$O$577,'Monthly Detail'!$C$2:$C$577,A19,'Monthly Detail'!$B$2:$B$577,B19)</f>
        <v>930816.946624012</v>
      </c>
      <c r="E19" s="10" t="n">
        <f aca="false">D19-C19</f>
        <v>-59198.8399759876</v>
      </c>
      <c r="F19" s="14" t="n">
        <f aca="false">IFERROR(E19/C19,0)</f>
        <v>-0.0597958545482325</v>
      </c>
      <c r="H19" s="13" t="n">
        <f aca="false">E19+ROW()/1000000</f>
        <v>-59198.8399569876</v>
      </c>
    </row>
    <row r="20" customFormat="false" ht="15" hidden="false" customHeight="true" outlineLevel="0" collapsed="false">
      <c r="A20" s="13" t="s">
        <v>70</v>
      </c>
      <c r="B20" s="13" t="s">
        <v>74</v>
      </c>
      <c r="C20" s="10" t="n">
        <f aca="false">SUMIFS('Monthly Detail'!$I$2:$I$577,'Monthly Detail'!$C$2:$C$577,A20,'Monthly Detail'!$B$2:$B$577,B20)</f>
        <v>1171243.25244</v>
      </c>
      <c r="D20" s="10" t="n">
        <f aca="false">SUMIFS('Monthly Detail'!$O$2:$O$577,'Monthly Detail'!$C$2:$C$577,A20,'Monthly Detail'!$B$2:$B$577,B20)</f>
        <v>1173435.11878885</v>
      </c>
      <c r="E20" s="10" t="n">
        <f aca="false">D20-C20</f>
        <v>2191.86634884751</v>
      </c>
      <c r="F20" s="14" t="n">
        <f aca="false">IFERROR(E20/C20,0)</f>
        <v>0.00187140147384524</v>
      </c>
      <c r="H20" s="13" t="n">
        <f aca="false">E20+ROW()/1000000</f>
        <v>2191.86636884751</v>
      </c>
    </row>
    <row r="21" customFormat="false" ht="15" hidden="false" customHeight="true" outlineLevel="0" collapsed="false">
      <c r="A21" s="13" t="s">
        <v>69</v>
      </c>
      <c r="B21" s="13" t="s">
        <v>72</v>
      </c>
      <c r="C21" s="10" t="n">
        <f aca="false">SUMIFS('Monthly Detail'!$I$2:$I$577,'Monthly Detail'!$C$2:$C$577,A21,'Monthly Detail'!$B$2:$B$577,B21)</f>
        <v>1410794.36512</v>
      </c>
      <c r="D21" s="10" t="n">
        <f aca="false">SUMIFS('Monthly Detail'!$O$2:$O$577,'Monthly Detail'!$C$2:$C$577,A21,'Monthly Detail'!$B$2:$B$577,B21)</f>
        <v>1433692.43523993</v>
      </c>
      <c r="E21" s="10" t="n">
        <f aca="false">D21-C21</f>
        <v>22898.0701199295</v>
      </c>
      <c r="F21" s="14" t="n">
        <f aca="false">IFERROR(E21/C21,0)</f>
        <v>0.0162306220424844</v>
      </c>
      <c r="H21" s="13" t="n">
        <f aca="false">E21+ROW()/1000000</f>
        <v>22898.0701409295</v>
      </c>
    </row>
    <row r="22" customFormat="false" ht="15" hidden="false" customHeight="true" outlineLevel="0" collapsed="false">
      <c r="A22" s="13" t="s">
        <v>69</v>
      </c>
      <c r="B22" s="13" t="s">
        <v>42</v>
      </c>
      <c r="C22" s="10" t="n">
        <f aca="false">SUMIFS('Monthly Detail'!$I$2:$I$577,'Monthly Detail'!$C$2:$C$577,A22,'Monthly Detail'!$B$2:$B$577,B22)</f>
        <v>1128450.14034</v>
      </c>
      <c r="D22" s="10" t="n">
        <f aca="false">SUMIFS('Monthly Detail'!$O$2:$O$577,'Monthly Detail'!$C$2:$C$577,A22,'Monthly Detail'!$B$2:$B$577,B22)</f>
        <v>1136420.18109364</v>
      </c>
      <c r="E22" s="10" t="n">
        <f aca="false">D22-C22</f>
        <v>7970.04075363954</v>
      </c>
      <c r="F22" s="14" t="n">
        <f aca="false">IFERROR(E22/C22,0)</f>
        <v>0.00706282047272215</v>
      </c>
      <c r="H22" s="13" t="n">
        <f aca="false">E22+ROW()/1000000</f>
        <v>7970.04077563954</v>
      </c>
    </row>
    <row r="23" customFormat="false" ht="15" hidden="false" customHeight="true" outlineLevel="0" collapsed="false">
      <c r="A23" s="13" t="s">
        <v>69</v>
      </c>
      <c r="B23" s="13" t="s">
        <v>73</v>
      </c>
      <c r="C23" s="10" t="n">
        <f aca="false">SUMIFS('Monthly Detail'!$I$2:$I$577,'Monthly Detail'!$C$2:$C$577,A23,'Monthly Detail'!$B$2:$B$577,B23)</f>
        <v>1811835.968746</v>
      </c>
      <c r="D23" s="10" t="n">
        <f aca="false">SUMIFS('Monthly Detail'!$O$2:$O$577,'Monthly Detail'!$C$2:$C$577,A23,'Monthly Detail'!$B$2:$B$577,B23)</f>
        <v>1796192.41511738</v>
      </c>
      <c r="E23" s="10" t="n">
        <f aca="false">D23-C23</f>
        <v>-15643.5536286191</v>
      </c>
      <c r="F23" s="14" t="n">
        <f aca="false">IFERROR(E23/C23,0)</f>
        <v>-0.00863408934278207</v>
      </c>
      <c r="H23" s="13" t="n">
        <f aca="false">E23+ROW()/1000000</f>
        <v>-15643.5536056191</v>
      </c>
    </row>
    <row r="24" customFormat="false" ht="15" hidden="false" customHeight="true" outlineLevel="0" collapsed="false">
      <c r="A24" s="13" t="s">
        <v>69</v>
      </c>
      <c r="B24" s="13" t="s">
        <v>74</v>
      </c>
      <c r="C24" s="10" t="n">
        <f aca="false">SUMIFS('Monthly Detail'!$I$2:$I$577,'Monthly Detail'!$C$2:$C$577,A24,'Monthly Detail'!$B$2:$B$577,B24)</f>
        <v>1846587.183578</v>
      </c>
      <c r="D24" s="10" t="n">
        <f aca="false">SUMIFS('Monthly Detail'!$O$2:$O$577,'Monthly Detail'!$C$2:$C$577,A24,'Monthly Detail'!$B$2:$B$577,B24)</f>
        <v>1854042.48884394</v>
      </c>
      <c r="E24" s="10" t="n">
        <f aca="false">D24-C24</f>
        <v>7455.3052659363</v>
      </c>
      <c r="F24" s="14" t="n">
        <f aca="false">IFERROR(E24/C24,0)</f>
        <v>0.00403734268938805</v>
      </c>
      <c r="H24" s="13" t="n">
        <f aca="false">E24+ROW()/1000000</f>
        <v>7455.3052899363</v>
      </c>
    </row>
    <row r="25" customFormat="false" ht="15" hidden="false" customHeight="true" outlineLevel="0" collapsed="false">
      <c r="A25" s="13" t="s">
        <v>71</v>
      </c>
      <c r="B25" s="13" t="s">
        <v>72</v>
      </c>
      <c r="C25" s="10" t="n">
        <f aca="false">SUMIFS('Monthly Detail'!$I$2:$I$577,'Monthly Detail'!$C$2:$C$577,A25,'Monthly Detail'!$B$2:$B$577,B25)</f>
        <v>1090148.27922</v>
      </c>
      <c r="D25" s="10" t="n">
        <f aca="false">SUMIFS('Monthly Detail'!$O$2:$O$577,'Monthly Detail'!$C$2:$C$577,A25,'Monthly Detail'!$B$2:$B$577,B25)</f>
        <v>1096080.30500602</v>
      </c>
      <c r="E25" s="10" t="n">
        <f aca="false">D25-C25</f>
        <v>5932.0257860173</v>
      </c>
      <c r="F25" s="14" t="n">
        <f aca="false">IFERROR(E25/C25,0)</f>
        <v>0.00544148525397083</v>
      </c>
      <c r="H25" s="13" t="n">
        <f aca="false">E25+ROW()/1000000</f>
        <v>5932.0258110173</v>
      </c>
    </row>
    <row r="26" customFormat="false" ht="15" hidden="false" customHeight="true" outlineLevel="0" collapsed="false">
      <c r="A26" s="13" t="s">
        <v>71</v>
      </c>
      <c r="B26" s="13" t="s">
        <v>42</v>
      </c>
      <c r="C26" s="10" t="n">
        <f aca="false">SUMIFS('Monthly Detail'!$I$2:$I$577,'Monthly Detail'!$C$2:$C$577,A26,'Monthly Detail'!$B$2:$B$577,B26)</f>
        <v>1016891.880004</v>
      </c>
      <c r="D26" s="10" t="n">
        <f aca="false">SUMIFS('Monthly Detail'!$O$2:$O$577,'Monthly Detail'!$C$2:$C$577,A26,'Monthly Detail'!$B$2:$B$577,B26)</f>
        <v>1013553.69187912</v>
      </c>
      <c r="E26" s="10" t="n">
        <f aca="false">D26-C26</f>
        <v>-3338.18812488369</v>
      </c>
      <c r="F26" s="14" t="n">
        <f aca="false">IFERROR(E26/C26,0)</f>
        <v>-0.0032827365332788</v>
      </c>
      <c r="H26" s="13" t="n">
        <f aca="false">E26+ROW()/1000000</f>
        <v>-3338.18809888369</v>
      </c>
    </row>
    <row r="27" customFormat="false" ht="15" hidden="false" customHeight="true" outlineLevel="0" collapsed="false">
      <c r="A27" s="13" t="s">
        <v>71</v>
      </c>
      <c r="B27" s="13" t="s">
        <v>73</v>
      </c>
      <c r="C27" s="10" t="n">
        <f aca="false">SUMIFS('Monthly Detail'!$I$2:$I$577,'Monthly Detail'!$C$2:$C$577,A27,'Monthly Detail'!$B$2:$B$577,B27)</f>
        <v>993189.43724</v>
      </c>
      <c r="D27" s="10" t="n">
        <f aca="false">SUMIFS('Monthly Detail'!$O$2:$O$577,'Monthly Detail'!$C$2:$C$577,A27,'Monthly Detail'!$B$2:$B$577,B27)</f>
        <v>993641.43046046</v>
      </c>
      <c r="E27" s="10" t="n">
        <f aca="false">D27-C27</f>
        <v>451.993220460019</v>
      </c>
      <c r="F27" s="14" t="n">
        <f aca="false">IFERROR(E27/C27,0)</f>
        <v>0.000455092657565988</v>
      </c>
      <c r="H27" s="13" t="n">
        <f aca="false">E27+ROW()/1000000</f>
        <v>451.993247460019</v>
      </c>
    </row>
    <row r="28" customFormat="false" ht="15" hidden="false" customHeight="true" outlineLevel="0" collapsed="false">
      <c r="A28" s="13" t="s">
        <v>71</v>
      </c>
      <c r="B28" s="13" t="s">
        <v>74</v>
      </c>
      <c r="C28" s="10" t="n">
        <f aca="false">SUMIFS('Monthly Detail'!$I$2:$I$577,'Monthly Detail'!$C$2:$C$577,A28,'Monthly Detail'!$B$2:$B$577,B28)</f>
        <v>1490963.486012</v>
      </c>
      <c r="D28" s="10" t="n">
        <f aca="false">SUMIFS('Monthly Detail'!$O$2:$O$577,'Monthly Detail'!$C$2:$C$577,A28,'Monthly Detail'!$B$2:$B$577,B28)</f>
        <v>1495901.01266347</v>
      </c>
      <c r="E28" s="10" t="n">
        <f aca="false">D28-C28</f>
        <v>4937.52665147418</v>
      </c>
      <c r="F28" s="14" t="n">
        <f aca="false">IFERROR(E28/C28,0)</f>
        <v>0.00331163485745783</v>
      </c>
      <c r="H28" s="13" t="n">
        <f aca="false">E28+ROW()/1000000</f>
        <v>4937.52667947418</v>
      </c>
    </row>
    <row r="31" customFormat="false" ht="15" hidden="false" customHeight="true" outlineLevel="0" collapsed="false">
      <c r="A31" s="15" t="s">
        <v>80</v>
      </c>
    </row>
    <row r="32" customFormat="false" ht="15" hidden="false" customHeight="true" outlineLevel="0" collapsed="false">
      <c r="A32" s="12" t="s">
        <v>23</v>
      </c>
      <c r="B32" s="12" t="s">
        <v>72</v>
      </c>
      <c r="C32" s="12" t="s">
        <v>42</v>
      </c>
      <c r="D32" s="12" t="s">
        <v>73</v>
      </c>
      <c r="E32" s="12" t="s">
        <v>74</v>
      </c>
    </row>
    <row r="33" customFormat="false" ht="15" hidden="false" customHeight="true" outlineLevel="0" collapsed="false">
      <c r="A33" s="13" t="s">
        <v>43</v>
      </c>
      <c r="B33" s="16" t="n">
        <f aca="false">E5</f>
        <v>4725.81542130117</v>
      </c>
      <c r="C33" s="16" t="n">
        <f aca="false">E6</f>
        <v>-107797.794453674</v>
      </c>
      <c r="D33" s="16" t="n">
        <f aca="false">E7</f>
        <v>12459.8405565852</v>
      </c>
      <c r="E33" s="16" t="n">
        <f aca="false">E8</f>
        <v>-203255.551423786</v>
      </c>
    </row>
    <row r="34" customFormat="false" ht="15" hidden="false" customHeight="true" outlineLevel="0" collapsed="false">
      <c r="A34" s="13" t="s">
        <v>67</v>
      </c>
      <c r="B34" s="16" t="n">
        <f aca="false">E9</f>
        <v>-18778.9273300418</v>
      </c>
      <c r="C34" s="16" t="n">
        <f aca="false">E10</f>
        <v>-11395.1221526486</v>
      </c>
      <c r="D34" s="16" t="n">
        <f aca="false">E11</f>
        <v>-6062.91397853801</v>
      </c>
      <c r="E34" s="16" t="n">
        <f aca="false">E12</f>
        <v>24055.8027511837</v>
      </c>
    </row>
    <row r="35" customFormat="false" ht="15" hidden="false" customHeight="true" outlineLevel="0" collapsed="false">
      <c r="A35" s="13" t="s">
        <v>68</v>
      </c>
      <c r="B35" s="16" t="n">
        <f aca="false">E13</f>
        <v>20744.439213719</v>
      </c>
      <c r="C35" s="16" t="n">
        <f aca="false">E14</f>
        <v>25631.3107404639</v>
      </c>
      <c r="D35" s="16" t="n">
        <f aca="false">E15</f>
        <v>6008.94140026369</v>
      </c>
      <c r="E35" s="16" t="n">
        <f aca="false">E16</f>
        <v>-13750.1924232277</v>
      </c>
    </row>
    <row r="36" customFormat="false" ht="15" hidden="false" customHeight="true" outlineLevel="0" collapsed="false">
      <c r="A36" s="13" t="s">
        <v>70</v>
      </c>
      <c r="B36" s="16" t="n">
        <f aca="false">E17</f>
        <v>-30786.086010132</v>
      </c>
      <c r="C36" s="16" t="n">
        <f aca="false">E18</f>
        <v>-8112.93773107464</v>
      </c>
      <c r="D36" s="16" t="n">
        <f aca="false">E19</f>
        <v>-59198.8399759876</v>
      </c>
      <c r="E36" s="16" t="n">
        <f aca="false">E20</f>
        <v>2191.86634884751</v>
      </c>
    </row>
    <row r="37" customFormat="false" ht="15" hidden="false" customHeight="true" outlineLevel="0" collapsed="false">
      <c r="A37" s="13" t="s">
        <v>69</v>
      </c>
      <c r="B37" s="16" t="n">
        <f aca="false">E21</f>
        <v>22898.0701199295</v>
      </c>
      <c r="C37" s="16" t="n">
        <f aca="false">E22</f>
        <v>7970.04075363954</v>
      </c>
      <c r="D37" s="16" t="n">
        <f aca="false">E23</f>
        <v>-15643.5536286191</v>
      </c>
      <c r="E37" s="16" t="n">
        <f aca="false">E24</f>
        <v>7455.3052659363</v>
      </c>
    </row>
    <row r="38" customFormat="false" ht="15" hidden="false" customHeight="true" outlineLevel="0" collapsed="false">
      <c r="A38" s="13" t="s">
        <v>71</v>
      </c>
      <c r="B38" s="16" t="n">
        <f aca="false">E25</f>
        <v>5932.0257860173</v>
      </c>
      <c r="C38" s="16" t="n">
        <f aca="false">E26</f>
        <v>-3338.18812488369</v>
      </c>
      <c r="D38" s="16" t="n">
        <f aca="false">E27</f>
        <v>451.993220460019</v>
      </c>
      <c r="E38" s="16" t="n">
        <f aca="false">E28</f>
        <v>4937.52665147418</v>
      </c>
    </row>
  </sheetData>
  <conditionalFormatting sqref="B33:E38">
    <cfRule type="colorScale" priority="2">
      <colorScale>
        <cfvo type="min" val="0"/>
        <cfvo type="num" val="0"/>
        <cfvo type="max" val="0"/>
        <color rgb="FFC0392B"/>
        <color rgb="FFFFFFFF"/>
        <color rgb="FF1E844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1" t="s">
        <v>81</v>
      </c>
    </row>
    <row r="2" customFormat="false" ht="15" hidden="false" customHeight="true" outlineLevel="0" collapsed="false">
      <c r="A2" s="3" t="s">
        <v>82</v>
      </c>
    </row>
    <row r="4" customFormat="false" ht="15" hidden="false" customHeight="true" outlineLevel="0" collapsed="false">
      <c r="A4" s="12" t="s">
        <v>83</v>
      </c>
      <c r="B4" s="12" t="s">
        <v>84</v>
      </c>
    </row>
    <row r="5" customFormat="false" ht="15" hidden="false" customHeight="true" outlineLevel="0" collapsed="false">
      <c r="A5" s="13" t="s">
        <v>29</v>
      </c>
      <c r="B5" s="17" t="n">
        <f aca="false">SUM('Monthly Detail'!I2:I577)</f>
        <v>35503414.101168</v>
      </c>
    </row>
    <row r="6" customFormat="false" ht="15" hidden="false" customHeight="true" outlineLevel="0" collapsed="false">
      <c r="A6" s="13" t="s">
        <v>85</v>
      </c>
      <c r="B6" s="18" t="n">
        <f aca="false">SUM('Monthly Detail'!Q2:Q577)</f>
        <v>38621.9562840001</v>
      </c>
    </row>
    <row r="7" customFormat="false" ht="15" hidden="false" customHeight="true" outlineLevel="0" collapsed="false">
      <c r="A7" s="13" t="s">
        <v>86</v>
      </c>
      <c r="B7" s="18" t="n">
        <f aca="false">SUM('Monthly Detail'!R2:R577)</f>
        <v>-68136.92280726</v>
      </c>
    </row>
    <row r="8" customFormat="false" ht="15" hidden="false" customHeight="true" outlineLevel="0" collapsed="false">
      <c r="A8" s="13" t="s">
        <v>87</v>
      </c>
      <c r="B8" s="18" t="n">
        <f aca="false">SUM('Monthly Detail'!S2:S577)</f>
        <v>-303142.162479532</v>
      </c>
    </row>
    <row r="9" customFormat="false" ht="15" hidden="false" customHeight="true" outlineLevel="0" collapsed="false">
      <c r="A9" s="13" t="s">
        <v>35</v>
      </c>
      <c r="B9" s="17" t="n">
        <f aca="false">B5+B6+B7+B8</f>
        <v>35170756.9721652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1"/>
  </cols>
  <sheetData>
    <row r="1" customFormat="false" ht="15.75" hidden="false" customHeight="true" outlineLevel="0" collapsed="false">
      <c r="A1" s="11" t="s">
        <v>88</v>
      </c>
    </row>
    <row r="2" customFormat="false" ht="15" hidden="false" customHeight="true" outlineLevel="0" collapsed="false">
      <c r="A2" s="3" t="s">
        <v>89</v>
      </c>
    </row>
    <row r="4" customFormat="false" ht="15" hidden="false" customHeight="true" outlineLevel="0" collapsed="false">
      <c r="A4" s="12" t="s">
        <v>90</v>
      </c>
      <c r="B4" s="12" t="s">
        <v>23</v>
      </c>
      <c r="C4" s="12" t="s">
        <v>22</v>
      </c>
      <c r="D4" s="12" t="s">
        <v>77</v>
      </c>
      <c r="E4" s="12" t="s">
        <v>78</v>
      </c>
      <c r="F4" s="19" t="s">
        <v>91</v>
      </c>
    </row>
    <row r="5" customFormat="false" ht="15" hidden="false" customHeight="true" outlineLevel="0" collapsed="false">
      <c r="A5" s="13" t="n">
        <v>1</v>
      </c>
      <c r="B5" s="13" t="str">
        <f aca="false">INDEX('Region x Category Summary'!$A$5:$A$28,MATCH(SMALL('Region x Category Summary'!$H$5:$H$28,1),'Region x Category Summary'!$H$5:$H$28,0))</f>
        <v>Electronics Accessories</v>
      </c>
      <c r="C5" s="13" t="str">
        <f aca="false">INDEX('Region x Category Summary'!$B$5:$B$28,MATCH(SMALL('Region x Category Summary'!$H$5:$H$28,1),'Region x Category Summary'!$H$5:$H$28,0))</f>
        <v>West</v>
      </c>
      <c r="D5" s="10" t="n">
        <f aca="false">INDEX('Region x Category Summary'!$E$5:$E$28,MATCH(SMALL('Region x Category Summary'!$H$5:$H$28,1),'Region x Category Summary'!$H$5:$H$28,0))</f>
        <v>-203255.551423786</v>
      </c>
      <c r="E5" s="14" t="n">
        <f aca="false">INDEX('Region x Category Summary'!$F$5:$F$28,MATCH(SMALL('Region x Category Summary'!$H$5:$H$28,1),'Region x Category Summary'!$H$5:$H$28,0))</f>
        <v>-0.093784962724017</v>
      </c>
      <c r="F5" s="0" t="str">
        <f aca="false">B5&amp;" - "&amp;C5</f>
        <v>Electronics Accessories - West</v>
      </c>
    </row>
    <row r="6" customFormat="false" ht="15" hidden="false" customHeight="true" outlineLevel="0" collapsed="false">
      <c r="A6" s="13" t="n">
        <v>2</v>
      </c>
      <c r="B6" s="13" t="str">
        <f aca="false">INDEX('Region x Category Summary'!$A$5:$A$28,MATCH(SMALL('Region x Category Summary'!$H$5:$H$28,2),'Region x Category Summary'!$H$5:$H$28,0))</f>
        <v>Electronics Accessories</v>
      </c>
      <c r="C6" s="13" t="str">
        <f aca="false">INDEX('Region x Category Summary'!$B$5:$B$28,MATCH(SMALL('Region x Category Summary'!$H$5:$H$28,2),'Region x Category Summary'!$H$5:$H$28,0))</f>
        <v>Northeast</v>
      </c>
      <c r="D6" s="10" t="n">
        <f aca="false">INDEX('Region x Category Summary'!$E$5:$E$28,MATCH(SMALL('Region x Category Summary'!$H$5:$H$28,2),'Region x Category Summary'!$H$5:$H$28,0))</f>
        <v>-107797.794453674</v>
      </c>
      <c r="E6" s="14" t="n">
        <f aca="false">INDEX('Region x Category Summary'!$F$5:$F$28,MATCH(SMALL('Region x Category Summary'!$H$5:$H$28,2),'Region x Category Summary'!$H$5:$H$28,0))</f>
        <v>-0.0664742769785019</v>
      </c>
      <c r="F6" s="0" t="str">
        <f aca="false">B6&amp;" - "&amp;C6</f>
        <v>Electronics Accessories - Northeast</v>
      </c>
    </row>
    <row r="7" customFormat="false" ht="15" hidden="false" customHeight="true" outlineLevel="0" collapsed="false">
      <c r="A7" s="13" t="n">
        <v>3</v>
      </c>
      <c r="B7" s="13" t="str">
        <f aca="false">INDEX('Region x Category Summary'!$A$5:$A$28,MATCH(SMALL('Region x Category Summary'!$H$5:$H$28,3),'Region x Category Summary'!$H$5:$H$28,0))</f>
        <v>Outdoor &amp; Sporting</v>
      </c>
      <c r="C7" s="13" t="str">
        <f aca="false">INDEX('Region x Category Summary'!$B$5:$B$28,MATCH(SMALL('Region x Category Summary'!$H$5:$H$28,3),'Region x Category Summary'!$H$5:$H$28,0))</f>
        <v>South</v>
      </c>
      <c r="D7" s="10" t="n">
        <f aca="false">INDEX('Region x Category Summary'!$E$5:$E$28,MATCH(SMALL('Region x Category Summary'!$H$5:$H$28,3),'Region x Category Summary'!$H$5:$H$28,0))</f>
        <v>-59198.8399759876</v>
      </c>
      <c r="E7" s="14" t="n">
        <f aca="false">INDEX('Region x Category Summary'!$F$5:$F$28,MATCH(SMALL('Region x Category Summary'!$H$5:$H$28,3),'Region x Category Summary'!$H$5:$H$28,0))</f>
        <v>-0.0597958545482325</v>
      </c>
      <c r="F7" s="0" t="str">
        <f aca="false">B7&amp;" - "&amp;C7</f>
        <v>Outdoor &amp; Sporting - South</v>
      </c>
    </row>
    <row r="8" customFormat="false" ht="15" hidden="false" customHeight="true" outlineLevel="0" collapsed="false">
      <c r="A8" s="13" t="n">
        <v>4</v>
      </c>
      <c r="B8" s="13" t="str">
        <f aca="false">INDEX('Region x Category Summary'!$A$5:$A$28,MATCH(SMALL('Region x Category Summary'!$H$5:$H$28,4),'Region x Category Summary'!$H$5:$H$28,0))</f>
        <v>Outdoor &amp; Sporting</v>
      </c>
      <c r="C8" s="13" t="str">
        <f aca="false">INDEX('Region x Category Summary'!$B$5:$B$28,MATCH(SMALL('Region x Category Summary'!$H$5:$H$28,4),'Region x Category Summary'!$H$5:$H$28,0))</f>
        <v>Midwest</v>
      </c>
      <c r="D8" s="10" t="n">
        <f aca="false">INDEX('Region x Category Summary'!$E$5:$E$28,MATCH(SMALL('Region x Category Summary'!$H$5:$H$28,4),'Region x Category Summary'!$H$5:$H$28,0))</f>
        <v>-30786.086010132</v>
      </c>
      <c r="E8" s="14" t="n">
        <f aca="false">INDEX('Region x Category Summary'!$F$5:$F$28,MATCH(SMALL('Region x Category Summary'!$H$5:$H$28,4),'Region x Category Summary'!$H$5:$H$28,0))</f>
        <v>-0.0342020188558108</v>
      </c>
      <c r="F8" s="0" t="str">
        <f aca="false">B8&amp;" - "&amp;C8</f>
        <v>Outdoor &amp; Sporting - Midwest</v>
      </c>
    </row>
    <row r="9" customFormat="false" ht="15" hidden="false" customHeight="true" outlineLevel="0" collapsed="false">
      <c r="A9" s="13" t="n">
        <v>5</v>
      </c>
      <c r="B9" s="13" t="str">
        <f aca="false">INDEX('Region x Category Summary'!$A$5:$A$28,MATCH(SMALL('Region x Category Summary'!$H$5:$H$28,5),'Region x Category Summary'!$H$5:$H$28,0))</f>
        <v>Home &amp; Kitchen</v>
      </c>
      <c r="C9" s="13" t="str">
        <f aca="false">INDEX('Region x Category Summary'!$B$5:$B$28,MATCH(SMALL('Region x Category Summary'!$H$5:$H$28,5),'Region x Category Summary'!$H$5:$H$28,0))</f>
        <v>Midwest</v>
      </c>
      <c r="D9" s="10" t="n">
        <f aca="false">INDEX('Region x Category Summary'!$E$5:$E$28,MATCH(SMALL('Region x Category Summary'!$H$5:$H$28,5),'Region x Category Summary'!$H$5:$H$28,0))</f>
        <v>-18778.9273300418</v>
      </c>
      <c r="E9" s="14" t="n">
        <f aca="false">INDEX('Region x Category Summary'!$F$5:$F$28,MATCH(SMALL('Region x Category Summary'!$H$5:$H$28,5),'Region x Category Summary'!$H$5:$H$28,0))</f>
        <v>-0.0140514130966913</v>
      </c>
      <c r="F9" s="0" t="str">
        <f aca="false">B9&amp;" - "&amp;C9</f>
        <v>Home &amp; Kitchen - Midwest</v>
      </c>
    </row>
    <row r="10" customFormat="false" ht="15" hidden="false" customHeight="true" outlineLevel="0" collapsed="false">
      <c r="A10" s="13" t="n">
        <v>6</v>
      </c>
      <c r="B10" s="13" t="str">
        <f aca="false">INDEX('Region x Category Summary'!$A$5:$A$28,MATCH(SMALL('Region x Category Summary'!$H$5:$H$28,6),'Region x Category Summary'!$H$5:$H$28,0))</f>
        <v>Personal Care</v>
      </c>
      <c r="C10" s="13" t="str">
        <f aca="false">INDEX('Region x Category Summary'!$B$5:$B$28,MATCH(SMALL('Region x Category Summary'!$H$5:$H$28,6),'Region x Category Summary'!$H$5:$H$28,0))</f>
        <v>South</v>
      </c>
      <c r="D10" s="10" t="n">
        <f aca="false">INDEX('Region x Category Summary'!$E$5:$E$28,MATCH(SMALL('Region x Category Summary'!$H$5:$H$28,6),'Region x Category Summary'!$H$5:$H$28,0))</f>
        <v>-15643.5536286191</v>
      </c>
      <c r="E10" s="14" t="n">
        <f aca="false">INDEX('Region x Category Summary'!$F$5:$F$28,MATCH(SMALL('Region x Category Summary'!$H$5:$H$28,6),'Region x Category Summary'!$H$5:$H$28,0))</f>
        <v>-0.00863408934278207</v>
      </c>
      <c r="F10" s="0" t="str">
        <f aca="false">B10&amp;" - "&amp;C10</f>
        <v>Personal Care - South</v>
      </c>
    </row>
    <row r="11" customFormat="false" ht="15" hidden="false" customHeight="true" outlineLevel="0" collapsed="false">
      <c r="A11" s="13" t="n">
        <v>7</v>
      </c>
      <c r="B11" s="13" t="str">
        <f aca="false">INDEX('Region x Category Summary'!$A$5:$A$28,MATCH(SMALL('Region x Category Summary'!$H$5:$H$28,7),'Region x Category Summary'!$H$5:$H$28,0))</f>
        <v>Office Supplies</v>
      </c>
      <c r="C11" s="13" t="str">
        <f aca="false">INDEX('Region x Category Summary'!$B$5:$B$28,MATCH(SMALL('Region x Category Summary'!$H$5:$H$28,7),'Region x Category Summary'!$H$5:$H$28,0))</f>
        <v>West</v>
      </c>
      <c r="D11" s="10" t="n">
        <f aca="false">INDEX('Region x Category Summary'!$E$5:$E$28,MATCH(SMALL('Region x Category Summary'!$H$5:$H$28,7),'Region x Category Summary'!$H$5:$H$28,0))</f>
        <v>-13750.1924232277</v>
      </c>
      <c r="E11" s="14" t="n">
        <f aca="false">INDEX('Region x Category Summary'!$F$5:$F$28,MATCH(SMALL('Region x Category Summary'!$H$5:$H$28,7),'Region x Category Summary'!$H$5:$H$28,0))</f>
        <v>-0.0074460022609121</v>
      </c>
      <c r="F11" s="0" t="str">
        <f aca="false">B11&amp;" - "&amp;C11</f>
        <v>Office Supplies - West</v>
      </c>
    </row>
    <row r="12" customFormat="false" ht="15" hidden="false" customHeight="true" outlineLevel="0" collapsed="false">
      <c r="A12" s="13" t="n">
        <v>8</v>
      </c>
      <c r="B12" s="13" t="str">
        <f aca="false">INDEX('Region x Category Summary'!$A$5:$A$28,MATCH(SMALL('Region x Category Summary'!$H$5:$H$28,8),'Region x Category Summary'!$H$5:$H$28,0))</f>
        <v>Home &amp; Kitchen</v>
      </c>
      <c r="C12" s="13" t="str">
        <f aca="false">INDEX('Region x Category Summary'!$B$5:$B$28,MATCH(SMALL('Region x Category Summary'!$H$5:$H$28,8),'Region x Category Summary'!$H$5:$H$28,0))</f>
        <v>Northeast</v>
      </c>
      <c r="D12" s="10" t="n">
        <f aca="false">INDEX('Region x Category Summary'!$E$5:$E$28,MATCH(SMALL('Region x Category Summary'!$H$5:$H$28,8),'Region x Category Summary'!$H$5:$H$28,0))</f>
        <v>-11395.1221526486</v>
      </c>
      <c r="E12" s="14" t="n">
        <f aca="false">INDEX('Region x Category Summary'!$F$5:$F$28,MATCH(SMALL('Region x Category Summary'!$H$5:$H$28,8),'Region x Category Summary'!$H$5:$H$28,0))</f>
        <v>-0.00659683852417919</v>
      </c>
      <c r="F12" s="0" t="str">
        <f aca="false">B12&amp;" - "&amp;C12</f>
        <v>Home &amp; Kitchen - Northeast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2026-09-02T16:13:56Z</dcterms:created>
  <dc:creator>openpyxl</dc:creator>
  <dc:description/>
  <dc:language>en-US</dc:language>
  <cp:lastModifiedBy/>
  <dcterms:modified xsi:type="dcterms:W3CDTF">2026-09-07T14:42:35Z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