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Invoice Sample" sheetId="2" state="visible" r:id="rId4"/>
    <sheet name="Bottleneck Analysis" sheetId="3" state="visible" r:id="rId5"/>
    <sheet name="Future-State Model" sheetId="4" state="visible" r:id="rId6"/>
    <sheet name="Future-State Projection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<sst xmlns="http://schemas.openxmlformats.org/spreadsheetml/2006/main" count="719" uniqueCount="260">
  <si>
    <t xml:space="preserve">Case 01 — AP Invoice Cycle-Time Analysis</t>
  </si>
  <si>
    <t xml:space="preserve">Supports the Process Improvement Charter. Brightpath Distribution's AP invoice approval process is flat: every invoice $500+ requires the same three sequential approvals regardless of size. This workbook measures the current-state cost of that in one month of observed data, then models a tiered, tool-assisted future state.</t>
  </si>
  <si>
    <t xml:space="preserve">Color legend</t>
  </si>
  <si>
    <t xml:space="preserve">Blue text</t>
  </si>
  <si>
    <t xml:space="preserve">Hardcoded input / assumption you can change</t>
  </si>
  <si>
    <t xml:space="preserve">Yellow fill</t>
  </si>
  <si>
    <t xml:space="preserve">Key assumption — worth double-checking before relying on the output</t>
  </si>
  <si>
    <t xml:space="preserve">Black text</t>
  </si>
  <si>
    <t xml:space="preserve">Formula — recalculates automatically</t>
  </si>
  <si>
    <t xml:space="preserve">Green text</t>
  </si>
  <si>
    <t xml:space="preserve">Link pulled from another sheet</t>
  </si>
  <si>
    <t xml:space="preserve">Sheets</t>
  </si>
  <si>
    <t xml:space="preserve">• Invoice Sample — 120 observed invoices from one month, current-state process</t>
  </si>
  <si>
    <t xml:space="preserve">• Bottleneck Analysis — where the time actually goes, by stage and by tier</t>
  </si>
  <si>
    <t xml:space="preserve">• Future-State Model — tiered approvals + routing tool, projected row by row</t>
  </si>
  <si>
    <t xml:space="preserve">• Summary — headline before/after KPIs</t>
  </si>
  <si>
    <t xml:space="preserve">Invoice ID</t>
  </si>
  <si>
    <t xml:space="preserve">Vendor</t>
  </si>
  <si>
    <t xml:space="preserve">Vendor Type</t>
  </si>
  <si>
    <t xml:space="preserve">Department</t>
  </si>
  <si>
    <t xml:space="preserve">Amount</t>
  </si>
  <si>
    <t xml:space="preserve">Payment Terms</t>
  </si>
  <si>
    <t xml:space="preserve">Days: Data Entry</t>
  </si>
  <si>
    <t xml:space="preserve">Days: Dept Mgr Approval</t>
  </si>
  <si>
    <t xml:space="preserve">Days: Finance Mgr Approval</t>
  </si>
  <si>
    <t xml:space="preserve">Days: Controller Approval</t>
  </si>
  <si>
    <t xml:space="preserve">Days: Payment Processing</t>
  </si>
  <si>
    <t xml:space="preserve">Total Cycle Days</t>
  </si>
  <si>
    <t xml:space="preserve">Tier</t>
  </si>
  <si>
    <t xml:space="preserve">Discount Eligible?</t>
  </si>
  <si>
    <t xml:space="preserve">Discount Captured?</t>
  </si>
  <si>
    <t xml:space="preserve">Late Fee Incurred?</t>
  </si>
  <si>
    <t xml:space="preserve">Discount $ Missed</t>
  </si>
  <si>
    <t xml:space="preserve">Late Fee $ Incurred</t>
  </si>
  <si>
    <t xml:space="preserve">INV-2031</t>
  </si>
  <si>
    <t xml:space="preserve">Cascade Freight Partners</t>
  </si>
  <si>
    <t xml:space="preserve">Recurring</t>
  </si>
  <si>
    <t xml:space="preserve">Sales &amp; Marketing</t>
  </si>
  <si>
    <t xml:space="preserve">Net 30</t>
  </si>
  <si>
    <t xml:space="preserve">INV-2032</t>
  </si>
  <si>
    <t xml:space="preserve">Meridian Cleaning Supply</t>
  </si>
  <si>
    <t xml:space="preserve">Fleet &amp; Logistics</t>
  </si>
  <si>
    <t xml:space="preserve">INV-2033</t>
  </si>
  <si>
    <t xml:space="preserve">Blackstone Facility Repair</t>
  </si>
  <si>
    <t xml:space="preserve">One-off</t>
  </si>
  <si>
    <t xml:space="preserve">Warehouse Ops</t>
  </si>
  <si>
    <t xml:space="preserve">INV-2034</t>
  </si>
  <si>
    <t xml:space="preserve">Norwood Uniform Services</t>
  </si>
  <si>
    <t xml:space="preserve">Facilities</t>
  </si>
  <si>
    <t xml:space="preserve">INV-2035</t>
  </si>
  <si>
    <t xml:space="preserve">Delmar Industrial Supply</t>
  </si>
  <si>
    <t xml:space="preserve">INV-2036</t>
  </si>
  <si>
    <t xml:space="preserve">INV-2037</t>
  </si>
  <si>
    <t xml:space="preserve">Overton Safety Gear</t>
  </si>
  <si>
    <t xml:space="preserve">Finance</t>
  </si>
  <si>
    <t xml:space="preserve">2/10 Net 30</t>
  </si>
  <si>
    <t xml:space="preserve">INV-2038</t>
  </si>
  <si>
    <t xml:space="preserve">INV-2039</t>
  </si>
  <si>
    <t xml:space="preserve">Juniper Equipment Rental</t>
  </si>
  <si>
    <t xml:space="preserve">INV-2040</t>
  </si>
  <si>
    <t xml:space="preserve">INV-2041</t>
  </si>
  <si>
    <t xml:space="preserve">Ashford Packaging Co.</t>
  </si>
  <si>
    <t xml:space="preserve">IT</t>
  </si>
  <si>
    <t xml:space="preserve">INV-2042</t>
  </si>
  <si>
    <t xml:space="preserve">INV-2043</t>
  </si>
  <si>
    <t xml:space="preserve">INV-2044</t>
  </si>
  <si>
    <t xml:space="preserve">INV-2045</t>
  </si>
  <si>
    <t xml:space="preserve">Harlow Fasteners Inc.</t>
  </si>
  <si>
    <t xml:space="preserve">INV-2046</t>
  </si>
  <si>
    <t xml:space="preserve">Junction Fleet Fuel</t>
  </si>
  <si>
    <t xml:space="preserve">INV-2047</t>
  </si>
  <si>
    <t xml:space="preserve">Driftwood Signage Co.</t>
  </si>
  <si>
    <t xml:space="preserve">INV-2048</t>
  </si>
  <si>
    <t xml:space="preserve">INV-2049</t>
  </si>
  <si>
    <t xml:space="preserve">Lattice Warehouse Equip.</t>
  </si>
  <si>
    <t xml:space="preserve">INV-2050</t>
  </si>
  <si>
    <t xml:space="preserve">INV-2051</t>
  </si>
  <si>
    <t xml:space="preserve">INV-2052</t>
  </si>
  <si>
    <t xml:space="preserve">INV-2053</t>
  </si>
  <si>
    <t xml:space="preserve">INV-2054</t>
  </si>
  <si>
    <t xml:space="preserve">INV-2055</t>
  </si>
  <si>
    <t xml:space="preserve">INV-2056</t>
  </si>
  <si>
    <t xml:space="preserve">Compass IT Contractors</t>
  </si>
  <si>
    <t xml:space="preserve">INV-2057</t>
  </si>
  <si>
    <t xml:space="preserve">INV-2058</t>
  </si>
  <si>
    <t xml:space="preserve">INV-2059</t>
  </si>
  <si>
    <t xml:space="preserve">INV-2060</t>
  </si>
  <si>
    <t xml:space="preserve">Fenwick Paper Group</t>
  </si>
  <si>
    <t xml:space="preserve">INV-2061</t>
  </si>
  <si>
    <t xml:space="preserve">Granite Fleet Maintenance</t>
  </si>
  <si>
    <t xml:space="preserve">INV-2062</t>
  </si>
  <si>
    <t xml:space="preserve">Ironclad Pallet Systems</t>
  </si>
  <si>
    <t xml:space="preserve">INV-2063</t>
  </si>
  <si>
    <t xml:space="preserve">INV-2064</t>
  </si>
  <si>
    <t xml:space="preserve">INV-2065</t>
  </si>
  <si>
    <t xml:space="preserve">INV-2066</t>
  </si>
  <si>
    <t xml:space="preserve">INV-2067</t>
  </si>
  <si>
    <t xml:space="preserve">INV-2068</t>
  </si>
  <si>
    <t xml:space="preserve">Hawthorne Legal Services</t>
  </si>
  <si>
    <t xml:space="preserve">INV-2069</t>
  </si>
  <si>
    <t xml:space="preserve">INV-2070</t>
  </si>
  <si>
    <t xml:space="preserve">INV-2071</t>
  </si>
  <si>
    <t xml:space="preserve">INV-2072</t>
  </si>
  <si>
    <t xml:space="preserve">Kestrel Office Solutions</t>
  </si>
  <si>
    <t xml:space="preserve">INV-2073</t>
  </si>
  <si>
    <t xml:space="preserve">INV-2074</t>
  </si>
  <si>
    <t xml:space="preserve">INV-2075</t>
  </si>
  <si>
    <t xml:space="preserve">Ivyview Marketing Agency</t>
  </si>
  <si>
    <t xml:space="preserve">INV-2076</t>
  </si>
  <si>
    <t xml:space="preserve">Elmhurst Consulting Group</t>
  </si>
  <si>
    <t xml:space="preserve">INV-2077</t>
  </si>
  <si>
    <t xml:space="preserve">INV-2078</t>
  </si>
  <si>
    <t xml:space="preserve">INV-2079</t>
  </si>
  <si>
    <t xml:space="preserve">INV-2080</t>
  </si>
  <si>
    <t xml:space="preserve">INV-2081</t>
  </si>
  <si>
    <t xml:space="preserve">INV-2082</t>
  </si>
  <si>
    <t xml:space="preserve">INV-2083</t>
  </si>
  <si>
    <t xml:space="preserve">INV-2084</t>
  </si>
  <si>
    <t xml:space="preserve">INV-2085</t>
  </si>
  <si>
    <t xml:space="preserve">INV-2086</t>
  </si>
  <si>
    <t xml:space="preserve">INV-2087</t>
  </si>
  <si>
    <t xml:space="preserve">INV-2088</t>
  </si>
  <si>
    <t xml:space="preserve">INV-2089</t>
  </si>
  <si>
    <t xml:space="preserve">INV-2090</t>
  </si>
  <si>
    <t xml:space="preserve">INV-2091</t>
  </si>
  <si>
    <t xml:space="preserve">INV-2092</t>
  </si>
  <si>
    <t xml:space="preserve">INV-2093</t>
  </si>
  <si>
    <t xml:space="preserve">INV-2094</t>
  </si>
  <si>
    <t xml:space="preserve">INV-2095</t>
  </si>
  <si>
    <t xml:space="preserve">INV-2096</t>
  </si>
  <si>
    <t xml:space="preserve">INV-2097</t>
  </si>
  <si>
    <t xml:space="preserve">INV-2098</t>
  </si>
  <si>
    <t xml:space="preserve">INV-2099</t>
  </si>
  <si>
    <t xml:space="preserve">INV-2100</t>
  </si>
  <si>
    <t xml:space="preserve">INV-2101</t>
  </si>
  <si>
    <t xml:space="preserve">INV-2102</t>
  </si>
  <si>
    <t xml:space="preserve">INV-2103</t>
  </si>
  <si>
    <t xml:space="preserve">INV-2104</t>
  </si>
  <si>
    <t xml:space="preserve">INV-2105</t>
  </si>
  <si>
    <t xml:space="preserve">INV-2106</t>
  </si>
  <si>
    <t xml:space="preserve">INV-2107</t>
  </si>
  <si>
    <t xml:space="preserve">INV-2108</t>
  </si>
  <si>
    <t xml:space="preserve">INV-2109</t>
  </si>
  <si>
    <t xml:space="preserve">INV-2110</t>
  </si>
  <si>
    <t xml:space="preserve">INV-2111</t>
  </si>
  <si>
    <t xml:space="preserve">INV-2112</t>
  </si>
  <si>
    <t xml:space="preserve">INV-2113</t>
  </si>
  <si>
    <t xml:space="preserve">INV-2114</t>
  </si>
  <si>
    <t xml:space="preserve">INV-2115</t>
  </si>
  <si>
    <t xml:space="preserve">INV-2116</t>
  </si>
  <si>
    <t xml:space="preserve">INV-2117</t>
  </si>
  <si>
    <t xml:space="preserve">INV-2118</t>
  </si>
  <si>
    <t xml:space="preserve">INV-2119</t>
  </si>
  <si>
    <t xml:space="preserve">INV-2120</t>
  </si>
  <si>
    <t xml:space="preserve">INV-2121</t>
  </si>
  <si>
    <t xml:space="preserve">INV-2122</t>
  </si>
  <si>
    <t xml:space="preserve">INV-2123</t>
  </si>
  <si>
    <t xml:space="preserve">INV-2124</t>
  </si>
  <si>
    <t xml:space="preserve">INV-2125</t>
  </si>
  <si>
    <t xml:space="preserve">INV-2126</t>
  </si>
  <si>
    <t xml:space="preserve">INV-2127</t>
  </si>
  <si>
    <t xml:space="preserve">INV-2128</t>
  </si>
  <si>
    <t xml:space="preserve">INV-2129</t>
  </si>
  <si>
    <t xml:space="preserve">INV-2130</t>
  </si>
  <si>
    <t xml:space="preserve">INV-2131</t>
  </si>
  <si>
    <t xml:space="preserve">INV-2132</t>
  </si>
  <si>
    <t xml:space="preserve">INV-2133</t>
  </si>
  <si>
    <t xml:space="preserve">INV-2134</t>
  </si>
  <si>
    <t xml:space="preserve">INV-2135</t>
  </si>
  <si>
    <t xml:space="preserve">INV-2136</t>
  </si>
  <si>
    <t xml:space="preserve">INV-2137</t>
  </si>
  <si>
    <t xml:space="preserve">INV-2138</t>
  </si>
  <si>
    <t xml:space="preserve">INV-2139</t>
  </si>
  <si>
    <t xml:space="preserve">INV-2140</t>
  </si>
  <si>
    <t xml:space="preserve">INV-2141</t>
  </si>
  <si>
    <t xml:space="preserve">INV-2142</t>
  </si>
  <si>
    <t xml:space="preserve">INV-2143</t>
  </si>
  <si>
    <t xml:space="preserve">INV-2144</t>
  </si>
  <si>
    <t xml:space="preserve">INV-2145</t>
  </si>
  <si>
    <t xml:space="preserve">INV-2146</t>
  </si>
  <si>
    <t xml:space="preserve">INV-2147</t>
  </si>
  <si>
    <t xml:space="preserve">INV-2148</t>
  </si>
  <si>
    <t xml:space="preserve">INV-2149</t>
  </si>
  <si>
    <t xml:space="preserve">INV-2150</t>
  </si>
  <si>
    <t xml:space="preserve">Bottleneck Analysis — current state</t>
  </si>
  <si>
    <t xml:space="preserve">Average days by stage (all invoices unless noted)</t>
  </si>
  <si>
    <t xml:space="preserve">Data entry — recurring vendors</t>
  </si>
  <si>
    <t xml:space="preserve">Data entry — one-off vendors</t>
  </si>
  <si>
    <t xml:space="preserve">Dept Mgr approval (all invoices)</t>
  </si>
  <si>
    <t xml:space="preserve">Finance Mgr approval ($500+ only)</t>
  </si>
  <si>
    <t xml:space="preserve">Controller approval ($500+ only)</t>
  </si>
  <si>
    <t xml:space="preserve">Payment processing</t>
  </si>
  <si>
    <t xml:space="preserve">Invoice mix by tier (this sample)</t>
  </si>
  <si>
    <t xml:space="preserve">Count</t>
  </si>
  <si>
    <t xml:space="preserve">% of invoices</t>
  </si>
  <si>
    <t xml:space="preserve">Avg amount</t>
  </si>
  <si>
    <t xml:space="preserve">Avg total cycle days</t>
  </si>
  <si>
    <t xml:space="preserve">Tier 0 (&lt;$500)</t>
  </si>
  <si>
    <t xml:space="preserve">Tier 1 ($500-$10K)</t>
  </si>
  <si>
    <t xml:space="preserve">Tier 2 ($10K-$50K)</t>
  </si>
  <si>
    <t xml:space="preserve">Tier 3 (&gt;$50K)</t>
  </si>
  <si>
    <t xml:space="preserve">Current-state financial leakage (this sample, one month)</t>
  </si>
  <si>
    <t xml:space="preserve">Invoices with discount terms missing the 10-day window</t>
  </si>
  <si>
    <t xml:space="preserve">Discount $ forfeited this month</t>
  </si>
  <si>
    <t xml:space="preserve">Invoices that missed Net 30 (late fee triggered)</t>
  </si>
  <si>
    <t xml:space="preserve">Late fee $ incurred this month</t>
  </si>
  <si>
    <t xml:space="preserve">Future-State Model — tiered approvals + routing tool</t>
  </si>
  <si>
    <t xml:space="preserve">Levers (change these to test other scenarios)</t>
  </si>
  <si>
    <t xml:space="preserve">Required approvals — Tier 0 (&lt;$500)</t>
  </si>
  <si>
    <t xml:space="preserve">Dept Mgr only (unchanged)</t>
  </si>
  <si>
    <t xml:space="preserve">Required approvals — Tier 1 ($500-$10K)</t>
  </si>
  <si>
    <t xml:space="preserve">Dept Mgr only</t>
  </si>
  <si>
    <t xml:space="preserve">Required approvals — Tier 2 ($10K-$50K)</t>
  </si>
  <si>
    <t xml:space="preserve">Dept Mgr + Finance Mgr</t>
  </si>
  <si>
    <t xml:space="preserve">Required approvals — Tier 3 (&gt;$50K)</t>
  </si>
  <si>
    <t xml:space="preserve">Dept Mgr + Finance Mgr + Controller (unchanged)</t>
  </si>
  <si>
    <t xml:space="preserve">OCR/auto-capture time reduction — recurring vendors</t>
  </si>
  <si>
    <t xml:space="preserve">Data-entry time reduction — one-off / new vendors (not OCR-eligible)</t>
  </si>
  <si>
    <t xml:space="preserve">Approval queue-time reduction — routing tool + defined backup approvers</t>
  </si>
  <si>
    <t xml:space="preserve">Payment-processing time reduction — batch scheduling automation</t>
  </si>
  <si>
    <t xml:space="preserve">Implementation cost (one-time + Year 1)</t>
  </si>
  <si>
    <t xml:space="preserve">Routing/workflow tool — annual subscription</t>
  </si>
  <si>
    <t xml:space="preserve">OCR/invoice-capture tool — annual subscription</t>
  </si>
  <si>
    <t xml:space="preserve">One-time implementation &amp; change-management effort</t>
  </si>
  <si>
    <t xml:space="preserve">Projected stage durations</t>
  </si>
  <si>
    <t xml:space="preserve">Stage</t>
  </si>
  <si>
    <t xml:space="preserve">Current (obs.)</t>
  </si>
  <si>
    <t xml:space="preserve">Reduction</t>
  </si>
  <si>
    <t xml:space="preserve">Projected</t>
  </si>
  <si>
    <t xml:space="preserve">Data entry — recurring</t>
  </si>
  <si>
    <t xml:space="preserve">Data entry — one-off</t>
  </si>
  <si>
    <t xml:space="preserve">Dept Mgr approval</t>
  </si>
  <si>
    <t xml:space="preserve">Finance Mgr approval</t>
  </si>
  <si>
    <t xml:space="preserve">Controller approval</t>
  </si>
  <si>
    <t xml:space="preserve">Projected Data Entry</t>
  </si>
  <si>
    <t xml:space="preserve">Projected Dept Mgr</t>
  </si>
  <si>
    <t xml:space="preserve">Projected Finance Mgr</t>
  </si>
  <si>
    <t xml:space="preserve">Projected Controller</t>
  </si>
  <si>
    <t xml:space="preserve">Projected Payment</t>
  </si>
  <si>
    <t xml:space="preserve">Projected Total Cycle Days</t>
  </si>
  <si>
    <t xml:space="preserve">Discount Captured (future)?</t>
  </si>
  <si>
    <t xml:space="preserve">Late Fee (future)?</t>
  </si>
  <si>
    <t xml:space="preserve">Discount $ Now Captured</t>
  </si>
  <si>
    <t xml:space="preserve">Late Fee $ Now Avoided</t>
  </si>
  <si>
    <t xml:space="preserve">Summary — before / after</t>
  </si>
  <si>
    <t xml:space="preserve">Blended cycle time (population-weighted across this sample)</t>
  </si>
  <si>
    <t xml:space="preserve">Current state — avg total cycle days</t>
  </si>
  <si>
    <t xml:space="preserve">Future state — avg total cycle days</t>
  </si>
  <si>
    <t xml:space="preserve">Annualized financial impact (monthly sample × 12)</t>
  </si>
  <si>
    <t xml:space="preserve">Months per year</t>
  </si>
  <si>
    <t xml:space="preserve">Discount $ captured / year (newly captured, future state)</t>
  </si>
  <si>
    <t xml:space="preserve">Late fee $ avoided / year</t>
  </si>
  <si>
    <t xml:space="preserve">Total annual benefit</t>
  </si>
  <si>
    <t xml:space="preserve">Implementation cost</t>
  </si>
  <si>
    <t xml:space="preserve">Routing tool (annual)</t>
  </si>
  <si>
    <t xml:space="preserve">OCR tool (annual)</t>
  </si>
  <si>
    <t xml:space="preserve">One-time implementation (Year 1 only)</t>
  </si>
  <si>
    <t xml:space="preserve">Total Year 1 cost</t>
  </si>
  <si>
    <t xml:space="preserve">Net benefit — Year 1</t>
  </si>
  <si>
    <t xml:space="preserve">Net benefit — Year 2+ (subscriptions only, no re-implementation)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</si>
</sst>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"/>
    <numFmt numFmtId="167" formatCode="0.00"/>
    <numFmt numFmtId="168" formatCode="General"/>
    <numFmt numFmtId="169" formatCode="0.0%"/>
    <numFmt numFmtId="170" formatCode="\$#,##0"/>
    <numFmt numFmtId="171" formatCode="0"/>
    <numFmt numFmtId="172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4603B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603B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2C0"/>
      </left>
      <right style="thin">
        <color rgb="FFB9C2C0"/>
      </right>
      <top style="thin">
        <color rgb="FFB9C2C0"/>
      </top>
      <bottom style="thin">
        <color rgb="FFB9C2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2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60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70"/>
  </cols>
  <sheetData>
    <row r="2" customFormat="false" ht="17.35" hidden="false" customHeight="false" outlineLevel="0" collapsed="false">
      <c r="B2" s="1" t="s">
        <v>0</v>
      </c>
    </row>
    <row r="4" customFormat="false" ht="48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6" t="s">
        <v>5</v>
      </c>
      <c r="C8" s="5" t="s">
        <v>6</v>
      </c>
    </row>
    <row r="9" customFormat="false" ht="15" hidden="false" customHeight="false" outlineLevel="0" collapsed="false">
      <c r="B9" s="7" t="s">
        <v>7</v>
      </c>
      <c r="C9" s="5" t="s">
        <v>8</v>
      </c>
    </row>
    <row r="10" customFormat="false" ht="15" hidden="false" customHeight="false" outlineLevel="0" collapsed="false">
      <c r="B10" s="8" t="s">
        <v>9</v>
      </c>
      <c r="C10" s="5" t="s">
        <v>10</v>
      </c>
    </row>
    <row r="12" customFormat="false" ht="15" hidden="false" customHeight="false" outlineLevel="0" collapsed="false">
      <c r="B12" s="3" t="s">
        <v>11</v>
      </c>
    </row>
    <row r="13" customFormat="false" ht="15" hidden="false" customHeight="false" outlineLevel="0" collapsed="false">
      <c r="B13" s="0" t="s">
        <v>12</v>
      </c>
    </row>
    <row r="14" customFormat="false" ht="15" hidden="false" customHeight="false" outlineLevel="0" collapsed="false">
      <c r="B14" s="0" t="s">
        <v>13</v>
      </c>
    </row>
    <row r="15" customFormat="false" ht="15" hidden="false" customHeight="false" outlineLevel="0" collapsed="false">
      <c r="B15" s="0" t="s">
        <v>14</v>
      </c>
    </row>
    <row r="16" customFormat="false" ht="15" hidden="false" customHeight="false" outlineLevel="0" collapsed="false">
      <c r="B16" s="0" t="s">
        <v>15</v>
      </c>
    </row>
  </sheetData>
  <mergeCells count="1"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12" min="7" style="0" width="11"/>
    <col collapsed="false" customWidth="true" hidden="false" outlineLevel="0" max="13" min="13" style="0" width="17"/>
    <col collapsed="false" customWidth="true" hidden="false" outlineLevel="0" max="16" min="14" style="0" width="12"/>
    <col collapsed="false" customWidth="true" hidden="false" outlineLevel="0" max="18" min="17" style="0" width="13"/>
  </cols>
  <sheetData>
    <row r="1" customFormat="false" ht="46.25" hidden="false" customHeight="false" outlineLevel="0" collapsed="false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  <c r="L1" s="9" t="s">
        <v>27</v>
      </c>
      <c r="M1" s="9" t="s">
        <v>28</v>
      </c>
      <c r="N1" s="9" t="s">
        <v>29</v>
      </c>
      <c r="O1" s="9" t="s">
        <v>30</v>
      </c>
      <c r="P1" s="9" t="s">
        <v>31</v>
      </c>
      <c r="Q1" s="9" t="s">
        <v>32</v>
      </c>
      <c r="R1" s="9" t="s">
        <v>33</v>
      </c>
    </row>
    <row r="2" customFormat="false" ht="15" hidden="false" customHeight="false" outlineLevel="0" collapsed="false">
      <c r="A2" s="10" t="s">
        <v>34</v>
      </c>
      <c r="B2" s="10" t="s">
        <v>35</v>
      </c>
      <c r="C2" s="10" t="s">
        <v>36</v>
      </c>
      <c r="D2" s="10" t="s">
        <v>37</v>
      </c>
      <c r="E2" s="11" t="n">
        <v>13377.69</v>
      </c>
      <c r="F2" s="10" t="s">
        <v>38</v>
      </c>
      <c r="G2" s="10" t="n">
        <v>1.3</v>
      </c>
      <c r="H2" s="10" t="n">
        <v>6.3</v>
      </c>
      <c r="I2" s="10" t="n">
        <v>5.1</v>
      </c>
      <c r="J2" s="10" t="n">
        <v>4.6</v>
      </c>
      <c r="K2" s="10" t="n">
        <v>1.4</v>
      </c>
      <c r="L2" s="12" t="n">
        <f aca="false">SUM(G2:K2)</f>
        <v>18.7</v>
      </c>
      <c r="M2" s="13" t="str">
        <f aca="false">IF(E2&lt;500,"Tier 0 (&lt;$500)",IF(E2&lt;10000,"Tier 1 ($500-$10K)",IF(E2&lt;50000,"Tier 2 ($10K-$50K)","Tier 3 (&gt;$50K)")))</f>
        <v>Tier 2 ($10K-$50K)</v>
      </c>
      <c r="N2" s="13" t="str">
        <f aca="false">IF(F2="2/10 Net 30","Yes","No")</f>
        <v>No</v>
      </c>
      <c r="O2" s="13" t="str">
        <f aca="false">IF(AND(N2="Yes",(G2+H2+I2+J2)&lt;=10),"Yes","No")</f>
        <v>No</v>
      </c>
      <c r="P2" s="13" t="str">
        <f aca="false">IF(L2&gt;30,"Yes","No")</f>
        <v>No</v>
      </c>
      <c r="Q2" s="14" t="n">
        <f aca="false">IF(AND(N2="Yes",O2="No"),E2*0.02,0)</f>
        <v>0</v>
      </c>
      <c r="R2" s="14" t="n">
        <f aca="false">IF(P2="Yes",E2*0.015,0)</f>
        <v>0</v>
      </c>
    </row>
    <row r="3" customFormat="false" ht="15" hidden="false" customHeight="false" outlineLevel="0" collapsed="false">
      <c r="A3" s="10" t="s">
        <v>39</v>
      </c>
      <c r="B3" s="10" t="s">
        <v>40</v>
      </c>
      <c r="C3" s="10" t="s">
        <v>36</v>
      </c>
      <c r="D3" s="10" t="s">
        <v>41</v>
      </c>
      <c r="E3" s="11" t="n">
        <v>9287.72</v>
      </c>
      <c r="F3" s="10" t="s">
        <v>38</v>
      </c>
      <c r="G3" s="10" t="n">
        <v>0.7</v>
      </c>
      <c r="H3" s="10" t="n">
        <v>5.1</v>
      </c>
      <c r="I3" s="10" t="n">
        <v>3.5</v>
      </c>
      <c r="J3" s="10" t="n">
        <v>1.6</v>
      </c>
      <c r="K3" s="10" t="n">
        <v>0.7</v>
      </c>
      <c r="L3" s="12" t="n">
        <f aca="false">SUM(G3:K3)</f>
        <v>11.6</v>
      </c>
      <c r="M3" s="13" t="str">
        <f aca="false">IF(E3&lt;500,"Tier 0 (&lt;$500)",IF(E3&lt;10000,"Tier 1 ($500-$10K)",IF(E3&lt;50000,"Tier 2 ($10K-$50K)","Tier 3 (&gt;$50K)")))</f>
        <v>Tier 1 ($500-$10K)</v>
      </c>
      <c r="N3" s="13" t="str">
        <f aca="false">IF(F3="2/10 Net 30","Yes","No")</f>
        <v>No</v>
      </c>
      <c r="O3" s="13" t="str">
        <f aca="false">IF(AND(N3="Yes",(G3+H3+I3+J3)&lt;=10),"Yes","No")</f>
        <v>No</v>
      </c>
      <c r="P3" s="13" t="str">
        <f aca="false">IF(L3&gt;30,"Yes","No")</f>
        <v>No</v>
      </c>
      <c r="Q3" s="14" t="n">
        <f aca="false">IF(AND(N3="Yes",O3="No"),E3*0.02,0)</f>
        <v>0</v>
      </c>
      <c r="R3" s="14" t="n">
        <f aca="false">IF(P3="Yes",E3*0.015,0)</f>
        <v>0</v>
      </c>
    </row>
    <row r="4" customFormat="false" ht="15" hidden="false" customHeight="false" outlineLevel="0" collapsed="false">
      <c r="A4" s="10" t="s">
        <v>42</v>
      </c>
      <c r="B4" s="10" t="s">
        <v>43</v>
      </c>
      <c r="C4" s="10" t="s">
        <v>44</v>
      </c>
      <c r="D4" s="10" t="s">
        <v>45</v>
      </c>
      <c r="E4" s="11" t="n">
        <v>29465.85</v>
      </c>
      <c r="F4" s="10" t="s">
        <v>38</v>
      </c>
      <c r="G4" s="10" t="n">
        <v>1.7</v>
      </c>
      <c r="H4" s="10" t="n">
        <v>2.5</v>
      </c>
      <c r="I4" s="10" t="n">
        <v>0.6</v>
      </c>
      <c r="J4" s="10" t="n">
        <v>4.4</v>
      </c>
      <c r="K4" s="10" t="n">
        <v>0.8</v>
      </c>
      <c r="L4" s="12" t="n">
        <f aca="false">SUM(G4:K4)</f>
        <v>10</v>
      </c>
      <c r="M4" s="13" t="str">
        <f aca="false">IF(E4&lt;500,"Tier 0 (&lt;$500)",IF(E4&lt;10000,"Tier 1 ($500-$10K)",IF(E4&lt;50000,"Tier 2 ($10K-$50K)","Tier 3 (&gt;$50K)")))</f>
        <v>Tier 2 ($10K-$50K)</v>
      </c>
      <c r="N4" s="13" t="str">
        <f aca="false">IF(F4="2/10 Net 30","Yes","No")</f>
        <v>No</v>
      </c>
      <c r="O4" s="13" t="str">
        <f aca="false">IF(AND(N4="Yes",(G4+H4+I4+J4)&lt;=10),"Yes","No")</f>
        <v>No</v>
      </c>
      <c r="P4" s="13" t="str">
        <f aca="false">IF(L4&gt;30,"Yes","No")</f>
        <v>No</v>
      </c>
      <c r="Q4" s="14" t="n">
        <f aca="false">IF(AND(N4="Yes",O4="No"),E4*0.02,0)</f>
        <v>0</v>
      </c>
      <c r="R4" s="14" t="n">
        <f aca="false">IF(P4="Yes",E4*0.015,0)</f>
        <v>0</v>
      </c>
    </row>
    <row r="5" customFormat="false" ht="15" hidden="false" customHeight="false" outlineLevel="0" collapsed="false">
      <c r="A5" s="10" t="s">
        <v>46</v>
      </c>
      <c r="B5" s="10" t="s">
        <v>47</v>
      </c>
      <c r="C5" s="10" t="s">
        <v>36</v>
      </c>
      <c r="D5" s="10" t="s">
        <v>48</v>
      </c>
      <c r="E5" s="11" t="n">
        <v>705.29</v>
      </c>
      <c r="F5" s="10" t="s">
        <v>38</v>
      </c>
      <c r="G5" s="10" t="n">
        <v>1.3</v>
      </c>
      <c r="H5" s="10" t="n">
        <v>3.8</v>
      </c>
      <c r="I5" s="10" t="n">
        <v>2.2</v>
      </c>
      <c r="J5" s="10" t="n">
        <v>1.3</v>
      </c>
      <c r="K5" s="10" t="n">
        <v>0.9</v>
      </c>
      <c r="L5" s="12" t="n">
        <f aca="false">SUM(G5:K5)</f>
        <v>9.5</v>
      </c>
      <c r="M5" s="13" t="str">
        <f aca="false">IF(E5&lt;500,"Tier 0 (&lt;$500)",IF(E5&lt;10000,"Tier 1 ($500-$10K)",IF(E5&lt;50000,"Tier 2 ($10K-$50K)","Tier 3 (&gt;$50K)")))</f>
        <v>Tier 1 ($500-$10K)</v>
      </c>
      <c r="N5" s="13" t="str">
        <f aca="false">IF(F5="2/10 Net 30","Yes","No")</f>
        <v>No</v>
      </c>
      <c r="O5" s="13" t="str">
        <f aca="false">IF(AND(N5="Yes",(G5+H5+I5+J5)&lt;=10),"Yes","No")</f>
        <v>No</v>
      </c>
      <c r="P5" s="13" t="str">
        <f aca="false">IF(L5&gt;30,"Yes","No")</f>
        <v>No</v>
      </c>
      <c r="Q5" s="14" t="n">
        <f aca="false">IF(AND(N5="Yes",O5="No"),E5*0.02,0)</f>
        <v>0</v>
      </c>
      <c r="R5" s="14" t="n">
        <f aca="false">IF(P5="Yes",E5*0.015,0)</f>
        <v>0</v>
      </c>
    </row>
    <row r="6" customFormat="false" ht="15" hidden="false" customHeight="false" outlineLevel="0" collapsed="false">
      <c r="A6" s="10" t="s">
        <v>49</v>
      </c>
      <c r="B6" s="10" t="s">
        <v>50</v>
      </c>
      <c r="C6" s="10" t="s">
        <v>36</v>
      </c>
      <c r="D6" s="10" t="s">
        <v>37</v>
      </c>
      <c r="E6" s="11" t="n">
        <v>384.61</v>
      </c>
      <c r="F6" s="10" t="s">
        <v>38</v>
      </c>
      <c r="G6" s="10" t="n">
        <v>1.5</v>
      </c>
      <c r="H6" s="10" t="n">
        <v>3.3</v>
      </c>
      <c r="I6" s="10" t="n">
        <v>0</v>
      </c>
      <c r="J6" s="10" t="n">
        <v>0</v>
      </c>
      <c r="K6" s="10" t="n">
        <v>0.6</v>
      </c>
      <c r="L6" s="12" t="n">
        <f aca="false">SUM(G6:K6)</f>
        <v>5.4</v>
      </c>
      <c r="M6" s="13" t="str">
        <f aca="false">IF(E6&lt;500,"Tier 0 (&lt;$500)",IF(E6&lt;10000,"Tier 1 ($500-$10K)",IF(E6&lt;50000,"Tier 2 ($10K-$50K)","Tier 3 (&gt;$50K)")))</f>
        <v>Tier 0 (&lt;$500)</v>
      </c>
      <c r="N6" s="13" t="str">
        <f aca="false">IF(F6="2/10 Net 30","Yes","No")</f>
        <v>No</v>
      </c>
      <c r="O6" s="13" t="str">
        <f aca="false">IF(AND(N6="Yes",(G6+H6+I6+J6)&lt;=10),"Yes","No")</f>
        <v>No</v>
      </c>
      <c r="P6" s="13" t="str">
        <f aca="false">IF(L6&gt;30,"Yes","No")</f>
        <v>No</v>
      </c>
      <c r="Q6" s="14" t="n">
        <f aca="false">IF(AND(N6="Yes",O6="No"),E6*0.02,0)</f>
        <v>0</v>
      </c>
      <c r="R6" s="14" t="n">
        <f aca="false">IF(P6="Yes",E6*0.015,0)</f>
        <v>0</v>
      </c>
    </row>
    <row r="7" customFormat="false" ht="15" hidden="false" customHeight="false" outlineLevel="0" collapsed="false">
      <c r="A7" s="10" t="s">
        <v>51</v>
      </c>
      <c r="B7" s="10" t="s">
        <v>35</v>
      </c>
      <c r="C7" s="10" t="s">
        <v>36</v>
      </c>
      <c r="D7" s="10" t="s">
        <v>37</v>
      </c>
      <c r="E7" s="11" t="n">
        <v>75964.56</v>
      </c>
      <c r="F7" s="10" t="s">
        <v>38</v>
      </c>
      <c r="G7" s="10" t="n">
        <v>1.5</v>
      </c>
      <c r="H7" s="10" t="n">
        <v>2.7</v>
      </c>
      <c r="I7" s="10" t="n">
        <v>5.2</v>
      </c>
      <c r="J7" s="10" t="n">
        <v>4.6</v>
      </c>
      <c r="K7" s="10" t="n">
        <v>1</v>
      </c>
      <c r="L7" s="12" t="n">
        <f aca="false">SUM(G7:K7)</f>
        <v>15</v>
      </c>
      <c r="M7" s="13" t="str">
        <f aca="false">IF(E7&lt;500,"Tier 0 (&lt;$500)",IF(E7&lt;10000,"Tier 1 ($500-$10K)",IF(E7&lt;50000,"Tier 2 ($10K-$50K)","Tier 3 (&gt;$50K)")))</f>
        <v>Tier 3 (&gt;$50K)</v>
      </c>
      <c r="N7" s="13" t="str">
        <f aca="false">IF(F7="2/10 Net 30","Yes","No")</f>
        <v>No</v>
      </c>
      <c r="O7" s="13" t="str">
        <f aca="false">IF(AND(N7="Yes",(G7+H7+I7+J7)&lt;=10),"Yes","No")</f>
        <v>No</v>
      </c>
      <c r="P7" s="13" t="str">
        <f aca="false">IF(L7&gt;30,"Yes","No")</f>
        <v>No</v>
      </c>
      <c r="Q7" s="14" t="n">
        <f aca="false">IF(AND(N7="Yes",O7="No"),E7*0.02,0)</f>
        <v>0</v>
      </c>
      <c r="R7" s="14" t="n">
        <f aca="false">IF(P7="Yes",E7*0.015,0)</f>
        <v>0</v>
      </c>
    </row>
    <row r="8" customFormat="false" ht="15" hidden="false" customHeight="false" outlineLevel="0" collapsed="false">
      <c r="A8" s="10" t="s">
        <v>52</v>
      </c>
      <c r="B8" s="10" t="s">
        <v>53</v>
      </c>
      <c r="C8" s="10" t="s">
        <v>36</v>
      </c>
      <c r="D8" s="10" t="s">
        <v>54</v>
      </c>
      <c r="E8" s="11" t="n">
        <v>16584.15</v>
      </c>
      <c r="F8" s="10" t="s">
        <v>55</v>
      </c>
      <c r="G8" s="10" t="n">
        <v>0.8</v>
      </c>
      <c r="H8" s="10" t="n">
        <v>2.1</v>
      </c>
      <c r="I8" s="10" t="n">
        <v>4.1</v>
      </c>
      <c r="J8" s="10" t="n">
        <v>6.5</v>
      </c>
      <c r="K8" s="10" t="n">
        <v>1</v>
      </c>
      <c r="L8" s="12" t="n">
        <f aca="false">SUM(G8:K8)</f>
        <v>14.5</v>
      </c>
      <c r="M8" s="13" t="str">
        <f aca="false">IF(E8&lt;500,"Tier 0 (&lt;$500)",IF(E8&lt;10000,"Tier 1 ($500-$10K)",IF(E8&lt;50000,"Tier 2 ($10K-$50K)","Tier 3 (&gt;$50K)")))</f>
        <v>Tier 2 ($10K-$50K)</v>
      </c>
      <c r="N8" s="13" t="str">
        <f aca="false">IF(F8="2/10 Net 30","Yes","No")</f>
        <v>Yes</v>
      </c>
      <c r="O8" s="13" t="str">
        <f aca="false">IF(AND(N8="Yes",(G8+H8+I8+J8)&lt;=10),"Yes","No")</f>
        <v>No</v>
      </c>
      <c r="P8" s="13" t="str">
        <f aca="false">IF(L8&gt;30,"Yes","No")</f>
        <v>No</v>
      </c>
      <c r="Q8" s="14" t="n">
        <f aca="false">IF(AND(N8="Yes",O8="No"),E8*0.02,0)</f>
        <v>331.683</v>
      </c>
      <c r="R8" s="14" t="n">
        <f aca="false">IF(P8="Yes",E8*0.015,0)</f>
        <v>0</v>
      </c>
    </row>
    <row r="9" customFormat="false" ht="15" hidden="false" customHeight="false" outlineLevel="0" collapsed="false">
      <c r="A9" s="10" t="s">
        <v>56</v>
      </c>
      <c r="B9" s="10" t="s">
        <v>43</v>
      </c>
      <c r="C9" s="10" t="s">
        <v>44</v>
      </c>
      <c r="D9" s="10" t="s">
        <v>37</v>
      </c>
      <c r="E9" s="11" t="n">
        <v>22636.85</v>
      </c>
      <c r="F9" s="10" t="s">
        <v>38</v>
      </c>
      <c r="G9" s="10" t="n">
        <v>1.5</v>
      </c>
      <c r="H9" s="10" t="n">
        <v>5.9</v>
      </c>
      <c r="I9" s="10" t="n">
        <v>4.4</v>
      </c>
      <c r="J9" s="10" t="n">
        <v>6.5</v>
      </c>
      <c r="K9" s="10" t="n">
        <v>1.1</v>
      </c>
      <c r="L9" s="12" t="n">
        <f aca="false">SUM(G9:K9)</f>
        <v>19.4</v>
      </c>
      <c r="M9" s="13" t="str">
        <f aca="false">IF(E9&lt;500,"Tier 0 (&lt;$500)",IF(E9&lt;10000,"Tier 1 ($500-$10K)",IF(E9&lt;50000,"Tier 2 ($10K-$50K)","Tier 3 (&gt;$50K)")))</f>
        <v>Tier 2 ($10K-$50K)</v>
      </c>
      <c r="N9" s="13" t="str">
        <f aca="false">IF(F9="2/10 Net 30","Yes","No")</f>
        <v>No</v>
      </c>
      <c r="O9" s="13" t="str">
        <f aca="false">IF(AND(N9="Yes",(G9+H9+I9+J9)&lt;=10),"Yes","No")</f>
        <v>No</v>
      </c>
      <c r="P9" s="13" t="str">
        <f aca="false">IF(L9&gt;30,"Yes","No")</f>
        <v>No</v>
      </c>
      <c r="Q9" s="14" t="n">
        <f aca="false">IF(AND(N9="Yes",O9="No"),E9*0.02,0)</f>
        <v>0</v>
      </c>
      <c r="R9" s="14" t="n">
        <f aca="false">IF(P9="Yes",E9*0.015,0)</f>
        <v>0</v>
      </c>
    </row>
    <row r="10" customFormat="false" ht="15" hidden="false" customHeight="false" outlineLevel="0" collapsed="false">
      <c r="A10" s="10" t="s">
        <v>57</v>
      </c>
      <c r="B10" s="10" t="s">
        <v>58</v>
      </c>
      <c r="C10" s="10" t="s">
        <v>44</v>
      </c>
      <c r="D10" s="10" t="s">
        <v>41</v>
      </c>
      <c r="E10" s="11" t="n">
        <v>131.44</v>
      </c>
      <c r="F10" s="10" t="s">
        <v>38</v>
      </c>
      <c r="G10" s="10" t="n">
        <v>1.5</v>
      </c>
      <c r="H10" s="10" t="n">
        <v>3.5</v>
      </c>
      <c r="I10" s="10" t="n">
        <v>0</v>
      </c>
      <c r="J10" s="10" t="n">
        <v>0</v>
      </c>
      <c r="K10" s="10" t="n">
        <v>1.4</v>
      </c>
      <c r="L10" s="12" t="n">
        <f aca="false">SUM(G10:K10)</f>
        <v>6.4</v>
      </c>
      <c r="M10" s="13" t="str">
        <f aca="false">IF(E10&lt;500,"Tier 0 (&lt;$500)",IF(E10&lt;10000,"Tier 1 ($500-$10K)",IF(E10&lt;50000,"Tier 2 ($10K-$50K)","Tier 3 (&gt;$50K)")))</f>
        <v>Tier 0 (&lt;$500)</v>
      </c>
      <c r="N10" s="13" t="str">
        <f aca="false">IF(F10="2/10 Net 30","Yes","No")</f>
        <v>No</v>
      </c>
      <c r="O10" s="13" t="str">
        <f aca="false">IF(AND(N10="Yes",(G10+H10+I10+J10)&lt;=10),"Yes","No")</f>
        <v>No</v>
      </c>
      <c r="P10" s="13" t="str">
        <f aca="false">IF(L10&gt;30,"Yes","No")</f>
        <v>No</v>
      </c>
      <c r="Q10" s="14" t="n">
        <f aca="false">IF(AND(N10="Yes",O10="No"),E10*0.02,0)</f>
        <v>0</v>
      </c>
      <c r="R10" s="14" t="n">
        <f aca="false">IF(P10="Yes",E10*0.015,0)</f>
        <v>0</v>
      </c>
    </row>
    <row r="11" customFormat="false" ht="15" hidden="false" customHeight="false" outlineLevel="0" collapsed="false">
      <c r="A11" s="10" t="s">
        <v>59</v>
      </c>
      <c r="B11" s="10" t="s">
        <v>43</v>
      </c>
      <c r="C11" s="10" t="s">
        <v>44</v>
      </c>
      <c r="D11" s="10" t="s">
        <v>41</v>
      </c>
      <c r="E11" s="11" t="n">
        <v>3447.76</v>
      </c>
      <c r="F11" s="10" t="s">
        <v>38</v>
      </c>
      <c r="G11" s="10" t="n">
        <v>1.5</v>
      </c>
      <c r="H11" s="10" t="n">
        <v>4.1</v>
      </c>
      <c r="I11" s="10" t="n">
        <v>3.6</v>
      </c>
      <c r="J11" s="10" t="n">
        <v>4.5</v>
      </c>
      <c r="K11" s="10" t="n">
        <v>1.4</v>
      </c>
      <c r="L11" s="12" t="n">
        <f aca="false">SUM(G11:K11)</f>
        <v>15.1</v>
      </c>
      <c r="M11" s="13" t="str">
        <f aca="false">IF(E11&lt;500,"Tier 0 (&lt;$500)",IF(E11&lt;10000,"Tier 1 ($500-$10K)",IF(E11&lt;50000,"Tier 2 ($10K-$50K)","Tier 3 (&gt;$50K)")))</f>
        <v>Tier 1 ($500-$10K)</v>
      </c>
      <c r="N11" s="13" t="str">
        <f aca="false">IF(F11="2/10 Net 30","Yes","No")</f>
        <v>No</v>
      </c>
      <c r="O11" s="13" t="str">
        <f aca="false">IF(AND(N11="Yes",(G11+H11+I11+J11)&lt;=10),"Yes","No")</f>
        <v>No</v>
      </c>
      <c r="P11" s="13" t="str">
        <f aca="false">IF(L11&gt;30,"Yes","No")</f>
        <v>No</v>
      </c>
      <c r="Q11" s="14" t="n">
        <f aca="false">IF(AND(N11="Yes",O11="No"),E11*0.02,0)</f>
        <v>0</v>
      </c>
      <c r="R11" s="14" t="n">
        <f aca="false">IF(P11="Yes",E11*0.015,0)</f>
        <v>0</v>
      </c>
    </row>
    <row r="12" customFormat="false" ht="15" hidden="false" customHeight="false" outlineLevel="0" collapsed="false">
      <c r="A12" s="10" t="s">
        <v>60</v>
      </c>
      <c r="B12" s="10" t="s">
        <v>61</v>
      </c>
      <c r="C12" s="10" t="s">
        <v>36</v>
      </c>
      <c r="D12" s="10" t="s">
        <v>62</v>
      </c>
      <c r="E12" s="11" t="n">
        <v>1657.29</v>
      </c>
      <c r="F12" s="10" t="s">
        <v>38</v>
      </c>
      <c r="G12" s="10" t="n">
        <v>0.9</v>
      </c>
      <c r="H12" s="10" t="n">
        <v>2.1</v>
      </c>
      <c r="I12" s="10" t="n">
        <v>2.5</v>
      </c>
      <c r="J12" s="10" t="n">
        <v>3.5</v>
      </c>
      <c r="K12" s="10" t="n">
        <v>1.3</v>
      </c>
      <c r="L12" s="12" t="n">
        <f aca="false">SUM(G12:K12)</f>
        <v>10.3</v>
      </c>
      <c r="M12" s="13" t="str">
        <f aca="false">IF(E12&lt;500,"Tier 0 (&lt;$500)",IF(E12&lt;10000,"Tier 1 ($500-$10K)",IF(E12&lt;50000,"Tier 2 ($10K-$50K)","Tier 3 (&gt;$50K)")))</f>
        <v>Tier 1 ($500-$10K)</v>
      </c>
      <c r="N12" s="13" t="str">
        <f aca="false">IF(F12="2/10 Net 30","Yes","No")</f>
        <v>No</v>
      </c>
      <c r="O12" s="13" t="str">
        <f aca="false">IF(AND(N12="Yes",(G12+H12+I12+J12)&lt;=10),"Yes","No")</f>
        <v>No</v>
      </c>
      <c r="P12" s="13" t="str">
        <f aca="false">IF(L12&gt;30,"Yes","No")</f>
        <v>No</v>
      </c>
      <c r="Q12" s="14" t="n">
        <f aca="false">IF(AND(N12="Yes",O12="No"),E12*0.02,0)</f>
        <v>0</v>
      </c>
      <c r="R12" s="14" t="n">
        <f aca="false">IF(P12="Yes",E12*0.015,0)</f>
        <v>0</v>
      </c>
    </row>
    <row r="13" customFormat="false" ht="15" hidden="false" customHeight="false" outlineLevel="0" collapsed="false">
      <c r="A13" s="10" t="s">
        <v>63</v>
      </c>
      <c r="B13" s="10" t="s">
        <v>40</v>
      </c>
      <c r="C13" s="10" t="s">
        <v>36</v>
      </c>
      <c r="D13" s="10" t="s">
        <v>45</v>
      </c>
      <c r="E13" s="11" t="n">
        <v>14950.03</v>
      </c>
      <c r="F13" s="10" t="s">
        <v>38</v>
      </c>
      <c r="G13" s="10" t="n">
        <v>1</v>
      </c>
      <c r="H13" s="10" t="n">
        <v>3.6</v>
      </c>
      <c r="I13" s="10" t="n">
        <v>5.3</v>
      </c>
      <c r="J13" s="10" t="n">
        <v>4.9</v>
      </c>
      <c r="K13" s="10" t="n">
        <v>1.4</v>
      </c>
      <c r="L13" s="12" t="n">
        <f aca="false">SUM(G13:K13)</f>
        <v>16.2</v>
      </c>
      <c r="M13" s="13" t="str">
        <f aca="false">IF(E13&lt;500,"Tier 0 (&lt;$500)",IF(E13&lt;10000,"Tier 1 ($500-$10K)",IF(E13&lt;50000,"Tier 2 ($10K-$50K)","Tier 3 (&gt;$50K)")))</f>
        <v>Tier 2 ($10K-$50K)</v>
      </c>
      <c r="N13" s="13" t="str">
        <f aca="false">IF(F13="2/10 Net 30","Yes","No")</f>
        <v>No</v>
      </c>
      <c r="O13" s="13" t="str">
        <f aca="false">IF(AND(N13="Yes",(G13+H13+I13+J13)&lt;=10),"Yes","No")</f>
        <v>No</v>
      </c>
      <c r="P13" s="13" t="str">
        <f aca="false">IF(L13&gt;30,"Yes","No")</f>
        <v>No</v>
      </c>
      <c r="Q13" s="14" t="n">
        <f aca="false">IF(AND(N13="Yes",O13="No"),E13*0.02,0)</f>
        <v>0</v>
      </c>
      <c r="R13" s="14" t="n">
        <f aca="false">IF(P13="Yes",E13*0.015,0)</f>
        <v>0</v>
      </c>
    </row>
    <row r="14" customFormat="false" ht="15" hidden="false" customHeight="false" outlineLevel="0" collapsed="false">
      <c r="A14" s="10" t="s">
        <v>64</v>
      </c>
      <c r="B14" s="10" t="s">
        <v>53</v>
      </c>
      <c r="C14" s="10" t="s">
        <v>36</v>
      </c>
      <c r="D14" s="10" t="s">
        <v>54</v>
      </c>
      <c r="E14" s="11" t="n">
        <v>736.14</v>
      </c>
      <c r="F14" s="10" t="s">
        <v>38</v>
      </c>
      <c r="G14" s="10" t="n">
        <v>1.3</v>
      </c>
      <c r="H14" s="10" t="n">
        <v>2.4</v>
      </c>
      <c r="I14" s="10" t="n">
        <v>3.9</v>
      </c>
      <c r="J14" s="10" t="n">
        <v>4.4</v>
      </c>
      <c r="K14" s="10" t="n">
        <v>1.8</v>
      </c>
      <c r="L14" s="12" t="n">
        <f aca="false">SUM(G14:K14)</f>
        <v>13.8</v>
      </c>
      <c r="M14" s="13" t="str">
        <f aca="false">IF(E14&lt;500,"Tier 0 (&lt;$500)",IF(E14&lt;10000,"Tier 1 ($500-$10K)",IF(E14&lt;50000,"Tier 2 ($10K-$50K)","Tier 3 (&gt;$50K)")))</f>
        <v>Tier 1 ($500-$10K)</v>
      </c>
      <c r="N14" s="13" t="str">
        <f aca="false">IF(F14="2/10 Net 30","Yes","No")</f>
        <v>No</v>
      </c>
      <c r="O14" s="13" t="str">
        <f aca="false">IF(AND(N14="Yes",(G14+H14+I14+J14)&lt;=10),"Yes","No")</f>
        <v>No</v>
      </c>
      <c r="P14" s="13" t="str">
        <f aca="false">IF(L14&gt;30,"Yes","No")</f>
        <v>No</v>
      </c>
      <c r="Q14" s="14" t="n">
        <f aca="false">IF(AND(N14="Yes",O14="No"),E14*0.02,0)</f>
        <v>0</v>
      </c>
      <c r="R14" s="14" t="n">
        <f aca="false">IF(P14="Yes",E14*0.015,0)</f>
        <v>0</v>
      </c>
    </row>
    <row r="15" customFormat="false" ht="15" hidden="false" customHeight="false" outlineLevel="0" collapsed="false">
      <c r="A15" s="10" t="s">
        <v>65</v>
      </c>
      <c r="B15" s="10" t="s">
        <v>50</v>
      </c>
      <c r="C15" s="10" t="s">
        <v>36</v>
      </c>
      <c r="D15" s="10" t="s">
        <v>54</v>
      </c>
      <c r="E15" s="11" t="n">
        <v>42173.63</v>
      </c>
      <c r="F15" s="10" t="s">
        <v>38</v>
      </c>
      <c r="G15" s="10" t="n">
        <v>1</v>
      </c>
      <c r="H15" s="10" t="n">
        <v>4.6</v>
      </c>
      <c r="I15" s="10" t="n">
        <v>5.6</v>
      </c>
      <c r="J15" s="10" t="n">
        <v>2.8</v>
      </c>
      <c r="K15" s="10" t="n">
        <v>0.8</v>
      </c>
      <c r="L15" s="12" t="n">
        <f aca="false">SUM(G15:K15)</f>
        <v>14.8</v>
      </c>
      <c r="M15" s="13" t="str">
        <f aca="false">IF(E15&lt;500,"Tier 0 (&lt;$500)",IF(E15&lt;10000,"Tier 1 ($500-$10K)",IF(E15&lt;50000,"Tier 2 ($10K-$50K)","Tier 3 (&gt;$50K)")))</f>
        <v>Tier 2 ($10K-$50K)</v>
      </c>
      <c r="N15" s="13" t="str">
        <f aca="false">IF(F15="2/10 Net 30","Yes","No")</f>
        <v>No</v>
      </c>
      <c r="O15" s="13" t="str">
        <f aca="false">IF(AND(N15="Yes",(G15+H15+I15+J15)&lt;=10),"Yes","No")</f>
        <v>No</v>
      </c>
      <c r="P15" s="13" t="str">
        <f aca="false">IF(L15&gt;30,"Yes","No")</f>
        <v>No</v>
      </c>
      <c r="Q15" s="14" t="n">
        <f aca="false">IF(AND(N15="Yes",O15="No"),E15*0.02,0)</f>
        <v>0</v>
      </c>
      <c r="R15" s="14" t="n">
        <f aca="false">IF(P15="Yes",E15*0.015,0)</f>
        <v>0</v>
      </c>
    </row>
    <row r="16" customFormat="false" ht="15" hidden="false" customHeight="false" outlineLevel="0" collapsed="false">
      <c r="A16" s="10" t="s">
        <v>66</v>
      </c>
      <c r="B16" s="10" t="s">
        <v>67</v>
      </c>
      <c r="C16" s="10" t="s">
        <v>36</v>
      </c>
      <c r="D16" s="10" t="s">
        <v>37</v>
      </c>
      <c r="E16" s="11" t="n">
        <v>6256.54</v>
      </c>
      <c r="F16" s="10" t="s">
        <v>38</v>
      </c>
      <c r="G16" s="10" t="n">
        <v>2</v>
      </c>
      <c r="H16" s="10" t="n">
        <v>3.3</v>
      </c>
      <c r="I16" s="10" t="n">
        <v>2.5</v>
      </c>
      <c r="J16" s="10" t="n">
        <v>3.8</v>
      </c>
      <c r="K16" s="10" t="n">
        <v>0.5</v>
      </c>
      <c r="L16" s="12" t="n">
        <f aca="false">SUM(G16:K16)</f>
        <v>12.1</v>
      </c>
      <c r="M16" s="13" t="str">
        <f aca="false">IF(E16&lt;500,"Tier 0 (&lt;$500)",IF(E16&lt;10000,"Tier 1 ($500-$10K)",IF(E16&lt;50000,"Tier 2 ($10K-$50K)","Tier 3 (&gt;$50K)")))</f>
        <v>Tier 1 ($500-$10K)</v>
      </c>
      <c r="N16" s="13" t="str">
        <f aca="false">IF(F16="2/10 Net 30","Yes","No")</f>
        <v>No</v>
      </c>
      <c r="O16" s="13" t="str">
        <f aca="false">IF(AND(N16="Yes",(G16+H16+I16+J16)&lt;=10),"Yes","No")</f>
        <v>No</v>
      </c>
      <c r="P16" s="13" t="str">
        <f aca="false">IF(L16&gt;30,"Yes","No")</f>
        <v>No</v>
      </c>
      <c r="Q16" s="14" t="n">
        <f aca="false">IF(AND(N16="Yes",O16="No"),E16*0.02,0)</f>
        <v>0</v>
      </c>
      <c r="R16" s="14" t="n">
        <f aca="false">IF(P16="Yes",E16*0.015,0)</f>
        <v>0</v>
      </c>
    </row>
    <row r="17" customFormat="false" ht="15" hidden="false" customHeight="false" outlineLevel="0" collapsed="false">
      <c r="A17" s="10" t="s">
        <v>68</v>
      </c>
      <c r="B17" s="10" t="s">
        <v>69</v>
      </c>
      <c r="C17" s="10" t="s">
        <v>36</v>
      </c>
      <c r="D17" s="10" t="s">
        <v>41</v>
      </c>
      <c r="E17" s="11" t="n">
        <v>2748.06</v>
      </c>
      <c r="F17" s="10" t="s">
        <v>38</v>
      </c>
      <c r="G17" s="10" t="n">
        <v>1.8</v>
      </c>
      <c r="H17" s="10" t="n">
        <v>8.7</v>
      </c>
      <c r="I17" s="10" t="n">
        <v>2</v>
      </c>
      <c r="J17" s="10" t="n">
        <v>3.4</v>
      </c>
      <c r="K17" s="10" t="n">
        <v>1.1</v>
      </c>
      <c r="L17" s="12" t="n">
        <f aca="false">SUM(G17:K17)</f>
        <v>17</v>
      </c>
      <c r="M17" s="13" t="str">
        <f aca="false">IF(E17&lt;500,"Tier 0 (&lt;$500)",IF(E17&lt;10000,"Tier 1 ($500-$10K)",IF(E17&lt;50000,"Tier 2 ($10K-$50K)","Tier 3 (&gt;$50K)")))</f>
        <v>Tier 1 ($500-$10K)</v>
      </c>
      <c r="N17" s="13" t="str">
        <f aca="false">IF(F17="2/10 Net 30","Yes","No")</f>
        <v>No</v>
      </c>
      <c r="O17" s="13" t="str">
        <f aca="false">IF(AND(N17="Yes",(G17+H17+I17+J17)&lt;=10),"Yes","No")</f>
        <v>No</v>
      </c>
      <c r="P17" s="13" t="str">
        <f aca="false">IF(L17&gt;30,"Yes","No")</f>
        <v>No</v>
      </c>
      <c r="Q17" s="14" t="n">
        <f aca="false">IF(AND(N17="Yes",O17="No"),E17*0.02,0)</f>
        <v>0</v>
      </c>
      <c r="R17" s="14" t="n">
        <f aca="false">IF(P17="Yes",E17*0.015,0)</f>
        <v>0</v>
      </c>
    </row>
    <row r="18" customFormat="false" ht="15" hidden="false" customHeight="false" outlineLevel="0" collapsed="false">
      <c r="A18" s="10" t="s">
        <v>70</v>
      </c>
      <c r="B18" s="10" t="s">
        <v>71</v>
      </c>
      <c r="C18" s="10" t="s">
        <v>44</v>
      </c>
      <c r="D18" s="10" t="s">
        <v>41</v>
      </c>
      <c r="E18" s="11" t="n">
        <v>1866.64</v>
      </c>
      <c r="F18" s="10" t="s">
        <v>38</v>
      </c>
      <c r="G18" s="10" t="n">
        <v>1.8</v>
      </c>
      <c r="H18" s="10" t="n">
        <v>3.5</v>
      </c>
      <c r="I18" s="10" t="n">
        <v>3.6</v>
      </c>
      <c r="J18" s="10" t="n">
        <v>1.8</v>
      </c>
      <c r="K18" s="10" t="n">
        <v>0.9</v>
      </c>
      <c r="L18" s="12" t="n">
        <f aca="false">SUM(G18:K18)</f>
        <v>11.6</v>
      </c>
      <c r="M18" s="13" t="str">
        <f aca="false">IF(E18&lt;500,"Tier 0 (&lt;$500)",IF(E18&lt;10000,"Tier 1 ($500-$10K)",IF(E18&lt;50000,"Tier 2 ($10K-$50K)","Tier 3 (&gt;$50K)")))</f>
        <v>Tier 1 ($500-$10K)</v>
      </c>
      <c r="N18" s="13" t="str">
        <f aca="false">IF(F18="2/10 Net 30","Yes","No")</f>
        <v>No</v>
      </c>
      <c r="O18" s="13" t="str">
        <f aca="false">IF(AND(N18="Yes",(G18+H18+I18+J18)&lt;=10),"Yes","No")</f>
        <v>No</v>
      </c>
      <c r="P18" s="13" t="str">
        <f aca="false">IF(L18&gt;30,"Yes","No")</f>
        <v>No</v>
      </c>
      <c r="Q18" s="14" t="n">
        <f aca="false">IF(AND(N18="Yes",O18="No"),E18*0.02,0)</f>
        <v>0</v>
      </c>
      <c r="R18" s="14" t="n">
        <f aca="false">IF(P18="Yes",E18*0.015,0)</f>
        <v>0</v>
      </c>
    </row>
    <row r="19" customFormat="false" ht="15" hidden="false" customHeight="false" outlineLevel="0" collapsed="false">
      <c r="A19" s="10" t="s">
        <v>72</v>
      </c>
      <c r="B19" s="10" t="s">
        <v>50</v>
      </c>
      <c r="C19" s="10" t="s">
        <v>36</v>
      </c>
      <c r="D19" s="10" t="s">
        <v>41</v>
      </c>
      <c r="E19" s="11" t="n">
        <v>102.37</v>
      </c>
      <c r="F19" s="10" t="s">
        <v>38</v>
      </c>
      <c r="G19" s="10" t="n">
        <v>1.6</v>
      </c>
      <c r="H19" s="10" t="n">
        <v>4.3</v>
      </c>
      <c r="I19" s="10" t="n">
        <v>0</v>
      </c>
      <c r="J19" s="10" t="n">
        <v>0</v>
      </c>
      <c r="K19" s="10" t="n">
        <v>1.1</v>
      </c>
      <c r="L19" s="12" t="n">
        <f aca="false">SUM(G19:K19)</f>
        <v>7</v>
      </c>
      <c r="M19" s="13" t="str">
        <f aca="false">IF(E19&lt;500,"Tier 0 (&lt;$500)",IF(E19&lt;10000,"Tier 1 ($500-$10K)",IF(E19&lt;50000,"Tier 2 ($10K-$50K)","Tier 3 (&gt;$50K)")))</f>
        <v>Tier 0 (&lt;$500)</v>
      </c>
      <c r="N19" s="13" t="str">
        <f aca="false">IF(F19="2/10 Net 30","Yes","No")</f>
        <v>No</v>
      </c>
      <c r="O19" s="13" t="str">
        <f aca="false">IF(AND(N19="Yes",(G19+H19+I19+J19)&lt;=10),"Yes","No")</f>
        <v>No</v>
      </c>
      <c r="P19" s="13" t="str">
        <f aca="false">IF(L19&gt;30,"Yes","No")</f>
        <v>No</v>
      </c>
      <c r="Q19" s="14" t="n">
        <f aca="false">IF(AND(N19="Yes",O19="No"),E19*0.02,0)</f>
        <v>0</v>
      </c>
      <c r="R19" s="14" t="n">
        <f aca="false">IF(P19="Yes",E19*0.015,0)</f>
        <v>0</v>
      </c>
    </row>
    <row r="20" customFormat="false" ht="15" hidden="false" customHeight="false" outlineLevel="0" collapsed="false">
      <c r="A20" s="10" t="s">
        <v>73</v>
      </c>
      <c r="B20" s="10" t="s">
        <v>74</v>
      </c>
      <c r="C20" s="10" t="s">
        <v>36</v>
      </c>
      <c r="D20" s="10" t="s">
        <v>54</v>
      </c>
      <c r="E20" s="11" t="n">
        <v>44044.41</v>
      </c>
      <c r="F20" s="10" t="s">
        <v>55</v>
      </c>
      <c r="G20" s="10" t="n">
        <v>1.2</v>
      </c>
      <c r="H20" s="10" t="n">
        <v>7.4</v>
      </c>
      <c r="I20" s="10" t="n">
        <v>6.2</v>
      </c>
      <c r="J20" s="10" t="n">
        <v>4.6</v>
      </c>
      <c r="K20" s="10" t="n">
        <v>0.8</v>
      </c>
      <c r="L20" s="12" t="n">
        <f aca="false">SUM(G20:K20)</f>
        <v>20.2</v>
      </c>
      <c r="M20" s="13" t="str">
        <f aca="false">IF(E20&lt;500,"Tier 0 (&lt;$500)",IF(E20&lt;10000,"Tier 1 ($500-$10K)",IF(E20&lt;50000,"Tier 2 ($10K-$50K)","Tier 3 (&gt;$50K)")))</f>
        <v>Tier 2 ($10K-$50K)</v>
      </c>
      <c r="N20" s="13" t="str">
        <f aca="false">IF(F20="2/10 Net 30","Yes","No")</f>
        <v>Yes</v>
      </c>
      <c r="O20" s="13" t="str">
        <f aca="false">IF(AND(N20="Yes",(G20+H20+I20+J20)&lt;=10),"Yes","No")</f>
        <v>No</v>
      </c>
      <c r="P20" s="13" t="str">
        <f aca="false">IF(L20&gt;30,"Yes","No")</f>
        <v>No</v>
      </c>
      <c r="Q20" s="14" t="n">
        <f aca="false">IF(AND(N20="Yes",O20="No"),E20*0.02,0)</f>
        <v>880.8882</v>
      </c>
      <c r="R20" s="14" t="n">
        <f aca="false">IF(P20="Yes",E20*0.015,0)</f>
        <v>0</v>
      </c>
    </row>
    <row r="21" customFormat="false" ht="15" hidden="false" customHeight="false" outlineLevel="0" collapsed="false">
      <c r="A21" s="10" t="s">
        <v>75</v>
      </c>
      <c r="B21" s="10" t="s">
        <v>53</v>
      </c>
      <c r="C21" s="10" t="s">
        <v>36</v>
      </c>
      <c r="D21" s="10" t="s">
        <v>37</v>
      </c>
      <c r="E21" s="11" t="n">
        <v>1465.78</v>
      </c>
      <c r="F21" s="10" t="s">
        <v>38</v>
      </c>
      <c r="G21" s="10" t="n">
        <v>1.3</v>
      </c>
      <c r="H21" s="10" t="n">
        <v>4.9</v>
      </c>
      <c r="I21" s="10" t="n">
        <v>1.2</v>
      </c>
      <c r="J21" s="10" t="n">
        <v>5.5</v>
      </c>
      <c r="K21" s="10" t="n">
        <v>1.1</v>
      </c>
      <c r="L21" s="12" t="n">
        <f aca="false">SUM(G21:K21)</f>
        <v>14</v>
      </c>
      <c r="M21" s="13" t="str">
        <f aca="false">IF(E21&lt;500,"Tier 0 (&lt;$500)",IF(E21&lt;10000,"Tier 1 ($500-$10K)",IF(E21&lt;50000,"Tier 2 ($10K-$50K)","Tier 3 (&gt;$50K)")))</f>
        <v>Tier 1 ($500-$10K)</v>
      </c>
      <c r="N21" s="13" t="str">
        <f aca="false">IF(F21="2/10 Net 30","Yes","No")</f>
        <v>No</v>
      </c>
      <c r="O21" s="13" t="str">
        <f aca="false">IF(AND(N21="Yes",(G21+H21+I21+J21)&lt;=10),"Yes","No")</f>
        <v>No</v>
      </c>
      <c r="P21" s="13" t="str">
        <f aca="false">IF(L21&gt;30,"Yes","No")</f>
        <v>No</v>
      </c>
      <c r="Q21" s="14" t="n">
        <f aca="false">IF(AND(N21="Yes",O21="No"),E21*0.02,0)</f>
        <v>0</v>
      </c>
      <c r="R21" s="14" t="n">
        <f aca="false">IF(P21="Yes",E21*0.015,0)</f>
        <v>0</v>
      </c>
    </row>
    <row r="22" customFormat="false" ht="15" hidden="false" customHeight="false" outlineLevel="0" collapsed="false">
      <c r="A22" s="10" t="s">
        <v>76</v>
      </c>
      <c r="B22" s="10" t="s">
        <v>71</v>
      </c>
      <c r="C22" s="10" t="s">
        <v>44</v>
      </c>
      <c r="D22" s="10" t="s">
        <v>62</v>
      </c>
      <c r="E22" s="11" t="n">
        <v>41178.32</v>
      </c>
      <c r="F22" s="10" t="s">
        <v>38</v>
      </c>
      <c r="G22" s="10" t="n">
        <v>1.5</v>
      </c>
      <c r="H22" s="10" t="n">
        <v>3.9</v>
      </c>
      <c r="I22" s="10" t="n">
        <v>3.4</v>
      </c>
      <c r="J22" s="10" t="n">
        <v>4.2</v>
      </c>
      <c r="K22" s="10" t="n">
        <v>1.4</v>
      </c>
      <c r="L22" s="12" t="n">
        <f aca="false">SUM(G22:K22)</f>
        <v>14.4</v>
      </c>
      <c r="M22" s="13" t="str">
        <f aca="false">IF(E22&lt;500,"Tier 0 (&lt;$500)",IF(E22&lt;10000,"Tier 1 ($500-$10K)",IF(E22&lt;50000,"Tier 2 ($10K-$50K)","Tier 3 (&gt;$50K)")))</f>
        <v>Tier 2 ($10K-$50K)</v>
      </c>
      <c r="N22" s="13" t="str">
        <f aca="false">IF(F22="2/10 Net 30","Yes","No")</f>
        <v>No</v>
      </c>
      <c r="O22" s="13" t="str">
        <f aca="false">IF(AND(N22="Yes",(G22+H22+I22+J22)&lt;=10),"Yes","No")</f>
        <v>No</v>
      </c>
      <c r="P22" s="13" t="str">
        <f aca="false">IF(L22&gt;30,"Yes","No")</f>
        <v>No</v>
      </c>
      <c r="Q22" s="14" t="n">
        <f aca="false">IF(AND(N22="Yes",O22="No"),E22*0.02,0)</f>
        <v>0</v>
      </c>
      <c r="R22" s="14" t="n">
        <f aca="false">IF(P22="Yes",E22*0.015,0)</f>
        <v>0</v>
      </c>
    </row>
    <row r="23" customFormat="false" ht="15" hidden="false" customHeight="false" outlineLevel="0" collapsed="false">
      <c r="A23" s="10" t="s">
        <v>77</v>
      </c>
      <c r="B23" s="10" t="s">
        <v>40</v>
      </c>
      <c r="C23" s="10" t="s">
        <v>36</v>
      </c>
      <c r="D23" s="10" t="s">
        <v>48</v>
      </c>
      <c r="E23" s="11" t="n">
        <v>6575.21</v>
      </c>
      <c r="F23" s="10" t="s">
        <v>55</v>
      </c>
      <c r="G23" s="10" t="n">
        <v>1.1</v>
      </c>
      <c r="H23" s="10" t="n">
        <v>1.3</v>
      </c>
      <c r="I23" s="10" t="n">
        <v>4.3</v>
      </c>
      <c r="J23" s="10" t="n">
        <v>6.8</v>
      </c>
      <c r="K23" s="10" t="n">
        <v>0.5</v>
      </c>
      <c r="L23" s="12" t="n">
        <f aca="false">SUM(G23:K23)</f>
        <v>14</v>
      </c>
      <c r="M23" s="13" t="str">
        <f aca="false">IF(E23&lt;500,"Tier 0 (&lt;$500)",IF(E23&lt;10000,"Tier 1 ($500-$10K)",IF(E23&lt;50000,"Tier 2 ($10K-$50K)","Tier 3 (&gt;$50K)")))</f>
        <v>Tier 1 ($500-$10K)</v>
      </c>
      <c r="N23" s="13" t="str">
        <f aca="false">IF(F23="2/10 Net 30","Yes","No")</f>
        <v>Yes</v>
      </c>
      <c r="O23" s="13" t="str">
        <f aca="false">IF(AND(N23="Yes",(G23+H23+I23+J23)&lt;=10),"Yes","No")</f>
        <v>No</v>
      </c>
      <c r="P23" s="13" t="str">
        <f aca="false">IF(L23&gt;30,"Yes","No")</f>
        <v>No</v>
      </c>
      <c r="Q23" s="14" t="n">
        <f aca="false">IF(AND(N23="Yes",O23="No"),E23*0.02,0)</f>
        <v>131.5042</v>
      </c>
      <c r="R23" s="14" t="n">
        <f aca="false">IF(P23="Yes",E23*0.015,0)</f>
        <v>0</v>
      </c>
    </row>
    <row r="24" customFormat="false" ht="15" hidden="false" customHeight="false" outlineLevel="0" collapsed="false">
      <c r="A24" s="10" t="s">
        <v>78</v>
      </c>
      <c r="B24" s="10" t="s">
        <v>74</v>
      </c>
      <c r="C24" s="10" t="s">
        <v>36</v>
      </c>
      <c r="D24" s="10" t="s">
        <v>41</v>
      </c>
      <c r="E24" s="11" t="n">
        <v>76562.49</v>
      </c>
      <c r="F24" s="10" t="s">
        <v>38</v>
      </c>
      <c r="G24" s="10" t="n">
        <v>1.1</v>
      </c>
      <c r="H24" s="10" t="n">
        <v>6.2</v>
      </c>
      <c r="I24" s="10" t="n">
        <v>4.7</v>
      </c>
      <c r="J24" s="10" t="n">
        <v>6.8</v>
      </c>
      <c r="K24" s="10" t="n">
        <v>1.4</v>
      </c>
      <c r="L24" s="12" t="n">
        <f aca="false">SUM(G24:K24)</f>
        <v>20.2</v>
      </c>
      <c r="M24" s="13" t="str">
        <f aca="false">IF(E24&lt;500,"Tier 0 (&lt;$500)",IF(E24&lt;10000,"Tier 1 ($500-$10K)",IF(E24&lt;50000,"Tier 2 ($10K-$50K)","Tier 3 (&gt;$50K)")))</f>
        <v>Tier 3 (&gt;$50K)</v>
      </c>
      <c r="N24" s="13" t="str">
        <f aca="false">IF(F24="2/10 Net 30","Yes","No")</f>
        <v>No</v>
      </c>
      <c r="O24" s="13" t="str">
        <f aca="false">IF(AND(N24="Yes",(G24+H24+I24+J24)&lt;=10),"Yes","No")</f>
        <v>No</v>
      </c>
      <c r="P24" s="13" t="str">
        <f aca="false">IF(L24&gt;30,"Yes","No")</f>
        <v>No</v>
      </c>
      <c r="Q24" s="14" t="n">
        <f aca="false">IF(AND(N24="Yes",O24="No"),E24*0.02,0)</f>
        <v>0</v>
      </c>
      <c r="R24" s="14" t="n">
        <f aca="false">IF(P24="Yes",E24*0.015,0)</f>
        <v>0</v>
      </c>
    </row>
    <row r="25" customFormat="false" ht="15" hidden="false" customHeight="false" outlineLevel="0" collapsed="false">
      <c r="A25" s="10" t="s">
        <v>79</v>
      </c>
      <c r="B25" s="10" t="s">
        <v>53</v>
      </c>
      <c r="C25" s="10" t="s">
        <v>36</v>
      </c>
      <c r="D25" s="10" t="s">
        <v>54</v>
      </c>
      <c r="E25" s="11" t="n">
        <v>36102.84</v>
      </c>
      <c r="F25" s="10" t="s">
        <v>38</v>
      </c>
      <c r="G25" s="10" t="n">
        <v>1.1</v>
      </c>
      <c r="H25" s="10" t="n">
        <v>4.2</v>
      </c>
      <c r="I25" s="10" t="n">
        <v>2.8</v>
      </c>
      <c r="J25" s="10" t="n">
        <v>5.6</v>
      </c>
      <c r="K25" s="10" t="n">
        <v>0.6</v>
      </c>
      <c r="L25" s="12" t="n">
        <f aca="false">SUM(G25:K25)</f>
        <v>14.3</v>
      </c>
      <c r="M25" s="13" t="str">
        <f aca="false">IF(E25&lt;500,"Tier 0 (&lt;$500)",IF(E25&lt;10000,"Tier 1 ($500-$10K)",IF(E25&lt;50000,"Tier 2 ($10K-$50K)","Tier 3 (&gt;$50K)")))</f>
        <v>Tier 2 ($10K-$50K)</v>
      </c>
      <c r="N25" s="13" t="str">
        <f aca="false">IF(F25="2/10 Net 30","Yes","No")</f>
        <v>No</v>
      </c>
      <c r="O25" s="13" t="str">
        <f aca="false">IF(AND(N25="Yes",(G25+H25+I25+J25)&lt;=10),"Yes","No")</f>
        <v>No</v>
      </c>
      <c r="P25" s="13" t="str">
        <f aca="false">IF(L25&gt;30,"Yes","No")</f>
        <v>No</v>
      </c>
      <c r="Q25" s="14" t="n">
        <f aca="false">IF(AND(N25="Yes",O25="No"),E25*0.02,0)</f>
        <v>0</v>
      </c>
      <c r="R25" s="14" t="n">
        <f aca="false">IF(P25="Yes",E25*0.015,0)</f>
        <v>0</v>
      </c>
    </row>
    <row r="26" customFormat="false" ht="15" hidden="false" customHeight="false" outlineLevel="0" collapsed="false">
      <c r="A26" s="10" t="s">
        <v>80</v>
      </c>
      <c r="B26" s="10" t="s">
        <v>69</v>
      </c>
      <c r="C26" s="10" t="s">
        <v>36</v>
      </c>
      <c r="D26" s="10" t="s">
        <v>54</v>
      </c>
      <c r="E26" s="11" t="n">
        <v>15283.98</v>
      </c>
      <c r="F26" s="10" t="s">
        <v>38</v>
      </c>
      <c r="G26" s="10" t="n">
        <v>1.5</v>
      </c>
      <c r="H26" s="10" t="n">
        <v>7</v>
      </c>
      <c r="I26" s="10" t="n">
        <v>4.9</v>
      </c>
      <c r="J26" s="10" t="n">
        <v>1.5</v>
      </c>
      <c r="K26" s="10" t="n">
        <v>1</v>
      </c>
      <c r="L26" s="12" t="n">
        <f aca="false">SUM(G26:K26)</f>
        <v>15.9</v>
      </c>
      <c r="M26" s="13" t="str">
        <f aca="false">IF(E26&lt;500,"Tier 0 (&lt;$500)",IF(E26&lt;10000,"Tier 1 ($500-$10K)",IF(E26&lt;50000,"Tier 2 ($10K-$50K)","Tier 3 (&gt;$50K)")))</f>
        <v>Tier 2 ($10K-$50K)</v>
      </c>
      <c r="N26" s="13" t="str">
        <f aca="false">IF(F26="2/10 Net 30","Yes","No")</f>
        <v>No</v>
      </c>
      <c r="O26" s="13" t="str">
        <f aca="false">IF(AND(N26="Yes",(G26+H26+I26+J26)&lt;=10),"Yes","No")</f>
        <v>No</v>
      </c>
      <c r="P26" s="13" t="str">
        <f aca="false">IF(L26&gt;30,"Yes","No")</f>
        <v>No</v>
      </c>
      <c r="Q26" s="14" t="n">
        <f aca="false">IF(AND(N26="Yes",O26="No"),E26*0.02,0)</f>
        <v>0</v>
      </c>
      <c r="R26" s="14" t="n">
        <f aca="false">IF(P26="Yes",E26*0.015,0)</f>
        <v>0</v>
      </c>
    </row>
    <row r="27" customFormat="false" ht="15" hidden="false" customHeight="false" outlineLevel="0" collapsed="false">
      <c r="A27" s="10" t="s">
        <v>81</v>
      </c>
      <c r="B27" s="10" t="s">
        <v>82</v>
      </c>
      <c r="C27" s="10" t="s">
        <v>44</v>
      </c>
      <c r="D27" s="10" t="s">
        <v>62</v>
      </c>
      <c r="E27" s="11" t="n">
        <v>6139.39</v>
      </c>
      <c r="F27" s="10" t="s">
        <v>38</v>
      </c>
      <c r="G27" s="10" t="n">
        <v>1.4</v>
      </c>
      <c r="H27" s="10" t="n">
        <v>2.5</v>
      </c>
      <c r="I27" s="10" t="n">
        <v>3.8</v>
      </c>
      <c r="J27" s="10" t="n">
        <v>2.1</v>
      </c>
      <c r="K27" s="10" t="n">
        <v>0.8</v>
      </c>
      <c r="L27" s="12" t="n">
        <f aca="false">SUM(G27:K27)</f>
        <v>10.6</v>
      </c>
      <c r="M27" s="13" t="str">
        <f aca="false">IF(E27&lt;500,"Tier 0 (&lt;$500)",IF(E27&lt;10000,"Tier 1 ($500-$10K)",IF(E27&lt;50000,"Tier 2 ($10K-$50K)","Tier 3 (&gt;$50K)")))</f>
        <v>Tier 1 ($500-$10K)</v>
      </c>
      <c r="N27" s="13" t="str">
        <f aca="false">IF(F27="2/10 Net 30","Yes","No")</f>
        <v>No</v>
      </c>
      <c r="O27" s="13" t="str">
        <f aca="false">IF(AND(N27="Yes",(G27+H27+I27+J27)&lt;=10),"Yes","No")</f>
        <v>No</v>
      </c>
      <c r="P27" s="13" t="str">
        <f aca="false">IF(L27&gt;30,"Yes","No")</f>
        <v>No</v>
      </c>
      <c r="Q27" s="14" t="n">
        <f aca="false">IF(AND(N27="Yes",O27="No"),E27*0.02,0)</f>
        <v>0</v>
      </c>
      <c r="R27" s="14" t="n">
        <f aca="false">IF(P27="Yes",E27*0.015,0)</f>
        <v>0</v>
      </c>
    </row>
    <row r="28" customFormat="false" ht="15" hidden="false" customHeight="false" outlineLevel="0" collapsed="false">
      <c r="A28" s="10" t="s">
        <v>83</v>
      </c>
      <c r="B28" s="10" t="s">
        <v>50</v>
      </c>
      <c r="C28" s="10" t="s">
        <v>36</v>
      </c>
      <c r="D28" s="10" t="s">
        <v>41</v>
      </c>
      <c r="E28" s="11" t="n">
        <v>5866.47</v>
      </c>
      <c r="F28" s="10" t="s">
        <v>38</v>
      </c>
      <c r="G28" s="10" t="n">
        <v>0.4</v>
      </c>
      <c r="H28" s="10" t="n">
        <v>4.6</v>
      </c>
      <c r="I28" s="10" t="n">
        <v>3.9</v>
      </c>
      <c r="J28" s="10" t="n">
        <v>4.7</v>
      </c>
      <c r="K28" s="10" t="n">
        <v>1.5</v>
      </c>
      <c r="L28" s="12" t="n">
        <f aca="false">SUM(G28:K28)</f>
        <v>15.1</v>
      </c>
      <c r="M28" s="13" t="str">
        <f aca="false">IF(E28&lt;500,"Tier 0 (&lt;$500)",IF(E28&lt;10000,"Tier 1 ($500-$10K)",IF(E28&lt;50000,"Tier 2 ($10K-$50K)","Tier 3 (&gt;$50K)")))</f>
        <v>Tier 1 ($500-$10K)</v>
      </c>
      <c r="N28" s="13" t="str">
        <f aca="false">IF(F28="2/10 Net 30","Yes","No")</f>
        <v>No</v>
      </c>
      <c r="O28" s="13" t="str">
        <f aca="false">IF(AND(N28="Yes",(G28+H28+I28+J28)&lt;=10),"Yes","No")</f>
        <v>No</v>
      </c>
      <c r="P28" s="13" t="str">
        <f aca="false">IF(L28&gt;30,"Yes","No")</f>
        <v>No</v>
      </c>
      <c r="Q28" s="14" t="n">
        <f aca="false">IF(AND(N28="Yes",O28="No"),E28*0.02,0)</f>
        <v>0</v>
      </c>
      <c r="R28" s="14" t="n">
        <f aca="false">IF(P28="Yes",E28*0.015,0)</f>
        <v>0</v>
      </c>
    </row>
    <row r="29" customFormat="false" ht="15" hidden="false" customHeight="false" outlineLevel="0" collapsed="false">
      <c r="A29" s="10" t="s">
        <v>84</v>
      </c>
      <c r="B29" s="10" t="s">
        <v>35</v>
      </c>
      <c r="C29" s="10" t="s">
        <v>36</v>
      </c>
      <c r="D29" s="10" t="s">
        <v>54</v>
      </c>
      <c r="E29" s="11" t="n">
        <v>130.17</v>
      </c>
      <c r="F29" s="10" t="s">
        <v>55</v>
      </c>
      <c r="G29" s="10" t="n">
        <v>1.7</v>
      </c>
      <c r="H29" s="10" t="n">
        <v>4.7</v>
      </c>
      <c r="I29" s="10" t="n">
        <v>0</v>
      </c>
      <c r="J29" s="10" t="n">
        <v>0</v>
      </c>
      <c r="K29" s="10" t="n">
        <v>1.3</v>
      </c>
      <c r="L29" s="12" t="n">
        <f aca="false">SUM(G29:K29)</f>
        <v>7.7</v>
      </c>
      <c r="M29" s="13" t="str">
        <f aca="false">IF(E29&lt;500,"Tier 0 (&lt;$500)",IF(E29&lt;10000,"Tier 1 ($500-$10K)",IF(E29&lt;50000,"Tier 2 ($10K-$50K)","Tier 3 (&gt;$50K)")))</f>
        <v>Tier 0 (&lt;$500)</v>
      </c>
      <c r="N29" s="13" t="str">
        <f aca="false">IF(F29="2/10 Net 30","Yes","No")</f>
        <v>Yes</v>
      </c>
      <c r="O29" s="13" t="str">
        <f aca="false">IF(AND(N29="Yes",(G29+H29+I29+J29)&lt;=10),"Yes","No")</f>
        <v>Yes</v>
      </c>
      <c r="P29" s="13" t="str">
        <f aca="false">IF(L29&gt;30,"Yes","No")</f>
        <v>No</v>
      </c>
      <c r="Q29" s="14" t="n">
        <f aca="false">IF(AND(N29="Yes",O29="No"),E29*0.02,0)</f>
        <v>0</v>
      </c>
      <c r="R29" s="14" t="n">
        <f aca="false">IF(P29="Yes",E29*0.015,0)</f>
        <v>0</v>
      </c>
    </row>
    <row r="30" customFormat="false" ht="15" hidden="false" customHeight="false" outlineLevel="0" collapsed="false">
      <c r="A30" s="10" t="s">
        <v>85</v>
      </c>
      <c r="B30" s="10" t="s">
        <v>82</v>
      </c>
      <c r="C30" s="10" t="s">
        <v>44</v>
      </c>
      <c r="D30" s="10" t="s">
        <v>62</v>
      </c>
      <c r="E30" s="11" t="n">
        <v>219.79</v>
      </c>
      <c r="F30" s="10" t="s">
        <v>38</v>
      </c>
      <c r="G30" s="10" t="n">
        <v>1.7</v>
      </c>
      <c r="H30" s="10" t="n">
        <v>4.5</v>
      </c>
      <c r="I30" s="10" t="n">
        <v>0</v>
      </c>
      <c r="J30" s="10" t="n">
        <v>0</v>
      </c>
      <c r="K30" s="10" t="n">
        <v>0.7</v>
      </c>
      <c r="L30" s="12" t="n">
        <f aca="false">SUM(G30:K30)</f>
        <v>6.9</v>
      </c>
      <c r="M30" s="13" t="str">
        <f aca="false">IF(E30&lt;500,"Tier 0 (&lt;$500)",IF(E30&lt;10000,"Tier 1 ($500-$10K)",IF(E30&lt;50000,"Tier 2 ($10K-$50K)","Tier 3 (&gt;$50K)")))</f>
        <v>Tier 0 (&lt;$500)</v>
      </c>
      <c r="N30" s="13" t="str">
        <f aca="false">IF(F30="2/10 Net 30","Yes","No")</f>
        <v>No</v>
      </c>
      <c r="O30" s="13" t="str">
        <f aca="false">IF(AND(N30="Yes",(G30+H30+I30+J30)&lt;=10),"Yes","No")</f>
        <v>No</v>
      </c>
      <c r="P30" s="13" t="str">
        <f aca="false">IF(L30&gt;30,"Yes","No")</f>
        <v>No</v>
      </c>
      <c r="Q30" s="14" t="n">
        <f aca="false">IF(AND(N30="Yes",O30="No"),E30*0.02,0)</f>
        <v>0</v>
      </c>
      <c r="R30" s="14" t="n">
        <f aca="false">IF(P30="Yes",E30*0.015,0)</f>
        <v>0</v>
      </c>
    </row>
    <row r="31" customFormat="false" ht="15" hidden="false" customHeight="false" outlineLevel="0" collapsed="false">
      <c r="A31" s="10" t="s">
        <v>86</v>
      </c>
      <c r="B31" s="10" t="s">
        <v>87</v>
      </c>
      <c r="C31" s="10" t="s">
        <v>36</v>
      </c>
      <c r="D31" s="10" t="s">
        <v>45</v>
      </c>
      <c r="E31" s="11" t="n">
        <v>1903.79</v>
      </c>
      <c r="F31" s="10" t="s">
        <v>38</v>
      </c>
      <c r="G31" s="10" t="n">
        <v>0.8</v>
      </c>
      <c r="H31" s="10" t="n">
        <v>3.9</v>
      </c>
      <c r="I31" s="10" t="n">
        <v>6</v>
      </c>
      <c r="J31" s="10" t="n">
        <v>2.8</v>
      </c>
      <c r="K31" s="10" t="n">
        <v>0.8</v>
      </c>
      <c r="L31" s="12" t="n">
        <f aca="false">SUM(G31:K31)</f>
        <v>14.3</v>
      </c>
      <c r="M31" s="13" t="str">
        <f aca="false">IF(E31&lt;500,"Tier 0 (&lt;$500)",IF(E31&lt;10000,"Tier 1 ($500-$10K)",IF(E31&lt;50000,"Tier 2 ($10K-$50K)","Tier 3 (&gt;$50K)")))</f>
        <v>Tier 1 ($500-$10K)</v>
      </c>
      <c r="N31" s="13" t="str">
        <f aca="false">IF(F31="2/10 Net 30","Yes","No")</f>
        <v>No</v>
      </c>
      <c r="O31" s="13" t="str">
        <f aca="false">IF(AND(N31="Yes",(G31+H31+I31+J31)&lt;=10),"Yes","No")</f>
        <v>No</v>
      </c>
      <c r="P31" s="13" t="str">
        <f aca="false">IF(L31&gt;30,"Yes","No")</f>
        <v>No</v>
      </c>
      <c r="Q31" s="14" t="n">
        <f aca="false">IF(AND(N31="Yes",O31="No"),E31*0.02,0)</f>
        <v>0</v>
      </c>
      <c r="R31" s="14" t="n">
        <f aca="false">IF(P31="Yes",E31*0.015,0)</f>
        <v>0</v>
      </c>
    </row>
    <row r="32" customFormat="false" ht="15" hidden="false" customHeight="false" outlineLevel="0" collapsed="false">
      <c r="A32" s="10" t="s">
        <v>88</v>
      </c>
      <c r="B32" s="10" t="s">
        <v>89</v>
      </c>
      <c r="C32" s="10" t="s">
        <v>44</v>
      </c>
      <c r="D32" s="10" t="s">
        <v>48</v>
      </c>
      <c r="E32" s="11" t="n">
        <v>25054</v>
      </c>
      <c r="F32" s="10" t="s">
        <v>38</v>
      </c>
      <c r="G32" s="10" t="n">
        <v>1.9</v>
      </c>
      <c r="H32" s="10" t="n">
        <v>5.4</v>
      </c>
      <c r="I32" s="10" t="n">
        <v>4.6</v>
      </c>
      <c r="J32" s="10" t="n">
        <v>7.7</v>
      </c>
      <c r="K32" s="10" t="n">
        <v>0.9</v>
      </c>
      <c r="L32" s="12" t="n">
        <f aca="false">SUM(G32:K32)</f>
        <v>20.5</v>
      </c>
      <c r="M32" s="13" t="str">
        <f aca="false">IF(E32&lt;500,"Tier 0 (&lt;$500)",IF(E32&lt;10000,"Tier 1 ($500-$10K)",IF(E32&lt;50000,"Tier 2 ($10K-$50K)","Tier 3 (&gt;$50K)")))</f>
        <v>Tier 2 ($10K-$50K)</v>
      </c>
      <c r="N32" s="13" t="str">
        <f aca="false">IF(F32="2/10 Net 30","Yes","No")</f>
        <v>No</v>
      </c>
      <c r="O32" s="13" t="str">
        <f aca="false">IF(AND(N32="Yes",(G32+H32+I32+J32)&lt;=10),"Yes","No")</f>
        <v>No</v>
      </c>
      <c r="P32" s="13" t="str">
        <f aca="false">IF(L32&gt;30,"Yes","No")</f>
        <v>No</v>
      </c>
      <c r="Q32" s="14" t="n">
        <f aca="false">IF(AND(N32="Yes",O32="No"),E32*0.02,0)</f>
        <v>0</v>
      </c>
      <c r="R32" s="14" t="n">
        <f aca="false">IF(P32="Yes",E32*0.015,0)</f>
        <v>0</v>
      </c>
    </row>
    <row r="33" customFormat="false" ht="15" hidden="false" customHeight="false" outlineLevel="0" collapsed="false">
      <c r="A33" s="10" t="s">
        <v>90</v>
      </c>
      <c r="B33" s="10" t="s">
        <v>91</v>
      </c>
      <c r="C33" s="10" t="s">
        <v>36</v>
      </c>
      <c r="D33" s="10" t="s">
        <v>37</v>
      </c>
      <c r="E33" s="11" t="n">
        <v>98026.75</v>
      </c>
      <c r="F33" s="10" t="s">
        <v>55</v>
      </c>
      <c r="G33" s="10" t="n">
        <v>1.7</v>
      </c>
      <c r="H33" s="10" t="n">
        <v>1.5</v>
      </c>
      <c r="I33" s="10" t="n">
        <v>1.9</v>
      </c>
      <c r="J33" s="10" t="n">
        <v>1.4</v>
      </c>
      <c r="K33" s="10" t="n">
        <v>0.8</v>
      </c>
      <c r="L33" s="12" t="n">
        <f aca="false">SUM(G33:K33)</f>
        <v>7.3</v>
      </c>
      <c r="M33" s="13" t="str">
        <f aca="false">IF(E33&lt;500,"Tier 0 (&lt;$500)",IF(E33&lt;10000,"Tier 1 ($500-$10K)",IF(E33&lt;50000,"Tier 2 ($10K-$50K)","Tier 3 (&gt;$50K)")))</f>
        <v>Tier 3 (&gt;$50K)</v>
      </c>
      <c r="N33" s="13" t="str">
        <f aca="false">IF(F33="2/10 Net 30","Yes","No")</f>
        <v>Yes</v>
      </c>
      <c r="O33" s="13" t="str">
        <f aca="false">IF(AND(N33="Yes",(G33+H33+I33+J33)&lt;=10),"Yes","No")</f>
        <v>Yes</v>
      </c>
      <c r="P33" s="13" t="str">
        <f aca="false">IF(L33&gt;30,"Yes","No")</f>
        <v>No</v>
      </c>
      <c r="Q33" s="14" t="n">
        <f aca="false">IF(AND(N33="Yes",O33="No"),E33*0.02,0)</f>
        <v>0</v>
      </c>
      <c r="R33" s="14" t="n">
        <f aca="false">IF(P33="Yes",E33*0.015,0)</f>
        <v>0</v>
      </c>
    </row>
    <row r="34" customFormat="false" ht="15" hidden="false" customHeight="false" outlineLevel="0" collapsed="false">
      <c r="A34" s="10" t="s">
        <v>92</v>
      </c>
      <c r="B34" s="10" t="s">
        <v>69</v>
      </c>
      <c r="C34" s="10" t="s">
        <v>36</v>
      </c>
      <c r="D34" s="10" t="s">
        <v>54</v>
      </c>
      <c r="E34" s="11" t="n">
        <v>7921.51</v>
      </c>
      <c r="F34" s="10" t="s">
        <v>55</v>
      </c>
      <c r="G34" s="10" t="n">
        <v>0.4</v>
      </c>
      <c r="H34" s="10" t="n">
        <v>4.2</v>
      </c>
      <c r="I34" s="10" t="n">
        <v>3.1</v>
      </c>
      <c r="J34" s="10" t="n">
        <v>4.7</v>
      </c>
      <c r="K34" s="10" t="n">
        <v>1.2</v>
      </c>
      <c r="L34" s="12" t="n">
        <f aca="false">SUM(G34:K34)</f>
        <v>13.6</v>
      </c>
      <c r="M34" s="13" t="str">
        <f aca="false">IF(E34&lt;500,"Tier 0 (&lt;$500)",IF(E34&lt;10000,"Tier 1 ($500-$10K)",IF(E34&lt;50000,"Tier 2 ($10K-$50K)","Tier 3 (&gt;$50K)")))</f>
        <v>Tier 1 ($500-$10K)</v>
      </c>
      <c r="N34" s="13" t="str">
        <f aca="false">IF(F34="2/10 Net 30","Yes","No")</f>
        <v>Yes</v>
      </c>
      <c r="O34" s="13" t="str">
        <f aca="false">IF(AND(N34="Yes",(G34+H34+I34+J34)&lt;=10),"Yes","No")</f>
        <v>No</v>
      </c>
      <c r="P34" s="13" t="str">
        <f aca="false">IF(L34&gt;30,"Yes","No")</f>
        <v>No</v>
      </c>
      <c r="Q34" s="14" t="n">
        <f aca="false">IF(AND(N34="Yes",O34="No"),E34*0.02,0)</f>
        <v>158.4302</v>
      </c>
      <c r="R34" s="14" t="n">
        <f aca="false">IF(P34="Yes",E34*0.015,0)</f>
        <v>0</v>
      </c>
    </row>
    <row r="35" customFormat="false" ht="15" hidden="false" customHeight="false" outlineLevel="0" collapsed="false">
      <c r="A35" s="10" t="s">
        <v>93</v>
      </c>
      <c r="B35" s="10" t="s">
        <v>43</v>
      </c>
      <c r="C35" s="10" t="s">
        <v>44</v>
      </c>
      <c r="D35" s="10" t="s">
        <v>37</v>
      </c>
      <c r="E35" s="11" t="n">
        <v>6675.54</v>
      </c>
      <c r="F35" s="10" t="s">
        <v>55</v>
      </c>
      <c r="G35" s="10" t="n">
        <v>1.7</v>
      </c>
      <c r="H35" s="10" t="n">
        <v>4.9</v>
      </c>
      <c r="I35" s="10" t="n">
        <v>2.7</v>
      </c>
      <c r="J35" s="10" t="n">
        <v>3.7</v>
      </c>
      <c r="K35" s="10" t="n">
        <v>1.1</v>
      </c>
      <c r="L35" s="12" t="n">
        <f aca="false">SUM(G35:K35)</f>
        <v>14.1</v>
      </c>
      <c r="M35" s="13" t="str">
        <f aca="false">IF(E35&lt;500,"Tier 0 (&lt;$500)",IF(E35&lt;10000,"Tier 1 ($500-$10K)",IF(E35&lt;50000,"Tier 2 ($10K-$50K)","Tier 3 (&gt;$50K)")))</f>
        <v>Tier 1 ($500-$10K)</v>
      </c>
      <c r="N35" s="13" t="str">
        <f aca="false">IF(F35="2/10 Net 30","Yes","No")</f>
        <v>Yes</v>
      </c>
      <c r="O35" s="13" t="str">
        <f aca="false">IF(AND(N35="Yes",(G35+H35+I35+J35)&lt;=10),"Yes","No")</f>
        <v>No</v>
      </c>
      <c r="P35" s="13" t="str">
        <f aca="false">IF(L35&gt;30,"Yes","No")</f>
        <v>No</v>
      </c>
      <c r="Q35" s="14" t="n">
        <f aca="false">IF(AND(N35="Yes",O35="No"),E35*0.02,0)</f>
        <v>133.5108</v>
      </c>
      <c r="R35" s="14" t="n">
        <f aca="false">IF(P35="Yes",E35*0.015,0)</f>
        <v>0</v>
      </c>
    </row>
    <row r="36" customFormat="false" ht="15" hidden="false" customHeight="false" outlineLevel="0" collapsed="false">
      <c r="A36" s="10" t="s">
        <v>94</v>
      </c>
      <c r="B36" s="10" t="s">
        <v>61</v>
      </c>
      <c r="C36" s="10" t="s">
        <v>36</v>
      </c>
      <c r="D36" s="10" t="s">
        <v>54</v>
      </c>
      <c r="E36" s="11" t="n">
        <v>6733.9</v>
      </c>
      <c r="F36" s="10" t="s">
        <v>55</v>
      </c>
      <c r="G36" s="10" t="n">
        <v>1.2</v>
      </c>
      <c r="H36" s="10" t="n">
        <v>5.4</v>
      </c>
      <c r="I36" s="10" t="n">
        <v>0.8</v>
      </c>
      <c r="J36" s="10" t="n">
        <v>1.9</v>
      </c>
      <c r="K36" s="10" t="n">
        <v>0.6</v>
      </c>
      <c r="L36" s="12" t="n">
        <f aca="false">SUM(G36:K36)</f>
        <v>9.9</v>
      </c>
      <c r="M36" s="13" t="str">
        <f aca="false">IF(E36&lt;500,"Tier 0 (&lt;$500)",IF(E36&lt;10000,"Tier 1 ($500-$10K)",IF(E36&lt;50000,"Tier 2 ($10K-$50K)","Tier 3 (&gt;$50K)")))</f>
        <v>Tier 1 ($500-$10K)</v>
      </c>
      <c r="N36" s="13" t="str">
        <f aca="false">IF(F36="2/10 Net 30","Yes","No")</f>
        <v>Yes</v>
      </c>
      <c r="O36" s="13" t="str">
        <f aca="false">IF(AND(N36="Yes",(G36+H36+I36+J36)&lt;=10),"Yes","No")</f>
        <v>Yes</v>
      </c>
      <c r="P36" s="13" t="str">
        <f aca="false">IF(L36&gt;30,"Yes","No")</f>
        <v>No</v>
      </c>
      <c r="Q36" s="14" t="n">
        <f aca="false">IF(AND(N36="Yes",O36="No"),E36*0.02,0)</f>
        <v>0</v>
      </c>
      <c r="R36" s="14" t="n">
        <f aca="false">IF(P36="Yes",E36*0.015,0)</f>
        <v>0</v>
      </c>
    </row>
    <row r="37" customFormat="false" ht="15" hidden="false" customHeight="false" outlineLevel="0" collapsed="false">
      <c r="A37" s="10" t="s">
        <v>95</v>
      </c>
      <c r="B37" s="10" t="s">
        <v>82</v>
      </c>
      <c r="C37" s="10" t="s">
        <v>44</v>
      </c>
      <c r="D37" s="10" t="s">
        <v>45</v>
      </c>
      <c r="E37" s="11" t="n">
        <v>8108.36</v>
      </c>
      <c r="F37" s="10" t="s">
        <v>38</v>
      </c>
      <c r="G37" s="10" t="n">
        <v>1.7</v>
      </c>
      <c r="H37" s="10" t="n">
        <v>5.8</v>
      </c>
      <c r="I37" s="10" t="n">
        <v>5.8</v>
      </c>
      <c r="J37" s="10" t="n">
        <v>3.9</v>
      </c>
      <c r="K37" s="10" t="n">
        <v>1.4</v>
      </c>
      <c r="L37" s="12" t="n">
        <f aca="false">SUM(G37:K37)</f>
        <v>18.6</v>
      </c>
      <c r="M37" s="13" t="str">
        <f aca="false">IF(E37&lt;500,"Tier 0 (&lt;$500)",IF(E37&lt;10000,"Tier 1 ($500-$10K)",IF(E37&lt;50000,"Tier 2 ($10K-$50K)","Tier 3 (&gt;$50K)")))</f>
        <v>Tier 1 ($500-$10K)</v>
      </c>
      <c r="N37" s="13" t="str">
        <f aca="false">IF(F37="2/10 Net 30","Yes","No")</f>
        <v>No</v>
      </c>
      <c r="O37" s="13" t="str">
        <f aca="false">IF(AND(N37="Yes",(G37+H37+I37+J37)&lt;=10),"Yes","No")</f>
        <v>No</v>
      </c>
      <c r="P37" s="13" t="str">
        <f aca="false">IF(L37&gt;30,"Yes","No")</f>
        <v>No</v>
      </c>
      <c r="Q37" s="14" t="n">
        <f aca="false">IF(AND(N37="Yes",O37="No"),E37*0.02,0)</f>
        <v>0</v>
      </c>
      <c r="R37" s="14" t="n">
        <f aca="false">IF(P37="Yes",E37*0.015,0)</f>
        <v>0</v>
      </c>
    </row>
    <row r="38" customFormat="false" ht="15" hidden="false" customHeight="false" outlineLevel="0" collapsed="false">
      <c r="A38" s="10" t="s">
        <v>96</v>
      </c>
      <c r="B38" s="10" t="s">
        <v>35</v>
      </c>
      <c r="C38" s="10" t="s">
        <v>36</v>
      </c>
      <c r="D38" s="10" t="s">
        <v>54</v>
      </c>
      <c r="E38" s="11" t="n">
        <v>145.03</v>
      </c>
      <c r="F38" s="10" t="s">
        <v>38</v>
      </c>
      <c r="G38" s="10" t="n">
        <v>0.9</v>
      </c>
      <c r="H38" s="10" t="n">
        <v>3.5</v>
      </c>
      <c r="I38" s="10" t="n">
        <v>0</v>
      </c>
      <c r="J38" s="10" t="n">
        <v>0</v>
      </c>
      <c r="K38" s="10" t="n">
        <v>1.2</v>
      </c>
      <c r="L38" s="12" t="n">
        <f aca="false">SUM(G38:K38)</f>
        <v>5.6</v>
      </c>
      <c r="M38" s="13" t="str">
        <f aca="false">IF(E38&lt;500,"Tier 0 (&lt;$500)",IF(E38&lt;10000,"Tier 1 ($500-$10K)",IF(E38&lt;50000,"Tier 2 ($10K-$50K)","Tier 3 (&gt;$50K)")))</f>
        <v>Tier 0 (&lt;$500)</v>
      </c>
      <c r="N38" s="13" t="str">
        <f aca="false">IF(F38="2/10 Net 30","Yes","No")</f>
        <v>No</v>
      </c>
      <c r="O38" s="13" t="str">
        <f aca="false">IF(AND(N38="Yes",(G38+H38+I38+J38)&lt;=10),"Yes","No")</f>
        <v>No</v>
      </c>
      <c r="P38" s="13" t="str">
        <f aca="false">IF(L38&gt;30,"Yes","No")</f>
        <v>No</v>
      </c>
      <c r="Q38" s="14" t="n">
        <f aca="false">IF(AND(N38="Yes",O38="No"),E38*0.02,0)</f>
        <v>0</v>
      </c>
      <c r="R38" s="14" t="n">
        <f aca="false">IF(P38="Yes",E38*0.015,0)</f>
        <v>0</v>
      </c>
    </row>
    <row r="39" customFormat="false" ht="15" hidden="false" customHeight="false" outlineLevel="0" collapsed="false">
      <c r="A39" s="10" t="s">
        <v>97</v>
      </c>
      <c r="B39" s="10" t="s">
        <v>98</v>
      </c>
      <c r="C39" s="10" t="s">
        <v>44</v>
      </c>
      <c r="D39" s="10" t="s">
        <v>37</v>
      </c>
      <c r="E39" s="11" t="n">
        <v>1017.7</v>
      </c>
      <c r="F39" s="10" t="s">
        <v>38</v>
      </c>
      <c r="G39" s="10" t="n">
        <v>1.8</v>
      </c>
      <c r="H39" s="10" t="n">
        <v>3.9</v>
      </c>
      <c r="I39" s="10" t="n">
        <v>1.1</v>
      </c>
      <c r="J39" s="10" t="n">
        <v>5.5</v>
      </c>
      <c r="K39" s="10" t="n">
        <v>0.8</v>
      </c>
      <c r="L39" s="12" t="n">
        <f aca="false">SUM(G39:K39)</f>
        <v>13.1</v>
      </c>
      <c r="M39" s="13" t="str">
        <f aca="false">IF(E39&lt;500,"Tier 0 (&lt;$500)",IF(E39&lt;10000,"Tier 1 ($500-$10K)",IF(E39&lt;50000,"Tier 2 ($10K-$50K)","Tier 3 (&gt;$50K)")))</f>
        <v>Tier 1 ($500-$10K)</v>
      </c>
      <c r="N39" s="13" t="str">
        <f aca="false">IF(F39="2/10 Net 30","Yes","No")</f>
        <v>No</v>
      </c>
      <c r="O39" s="13" t="str">
        <f aca="false">IF(AND(N39="Yes",(G39+H39+I39+J39)&lt;=10),"Yes","No")</f>
        <v>No</v>
      </c>
      <c r="P39" s="13" t="str">
        <f aca="false">IF(L39&gt;30,"Yes","No")</f>
        <v>No</v>
      </c>
      <c r="Q39" s="14" t="n">
        <f aca="false">IF(AND(N39="Yes",O39="No"),E39*0.02,0)</f>
        <v>0</v>
      </c>
      <c r="R39" s="14" t="n">
        <f aca="false">IF(P39="Yes",E39*0.015,0)</f>
        <v>0</v>
      </c>
    </row>
    <row r="40" customFormat="false" ht="15" hidden="false" customHeight="false" outlineLevel="0" collapsed="false">
      <c r="A40" s="10" t="s">
        <v>99</v>
      </c>
      <c r="B40" s="10" t="s">
        <v>67</v>
      </c>
      <c r="C40" s="10" t="s">
        <v>36</v>
      </c>
      <c r="D40" s="10" t="s">
        <v>54</v>
      </c>
      <c r="E40" s="11" t="n">
        <v>4855.87</v>
      </c>
      <c r="F40" s="10" t="s">
        <v>38</v>
      </c>
      <c r="G40" s="10" t="n">
        <v>1.1</v>
      </c>
      <c r="H40" s="10" t="n">
        <v>4.6</v>
      </c>
      <c r="I40" s="10" t="n">
        <v>4.3</v>
      </c>
      <c r="J40" s="10" t="n">
        <v>6.1</v>
      </c>
      <c r="K40" s="10" t="n">
        <v>0.9</v>
      </c>
      <c r="L40" s="12" t="n">
        <f aca="false">SUM(G40:K40)</f>
        <v>17</v>
      </c>
      <c r="M40" s="13" t="str">
        <f aca="false">IF(E40&lt;500,"Tier 0 (&lt;$500)",IF(E40&lt;10000,"Tier 1 ($500-$10K)",IF(E40&lt;50000,"Tier 2 ($10K-$50K)","Tier 3 (&gt;$50K)")))</f>
        <v>Tier 1 ($500-$10K)</v>
      </c>
      <c r="N40" s="13" t="str">
        <f aca="false">IF(F40="2/10 Net 30","Yes","No")</f>
        <v>No</v>
      </c>
      <c r="O40" s="13" t="str">
        <f aca="false">IF(AND(N40="Yes",(G40+H40+I40+J40)&lt;=10),"Yes","No")</f>
        <v>No</v>
      </c>
      <c r="P40" s="13" t="str">
        <f aca="false">IF(L40&gt;30,"Yes","No")</f>
        <v>No</v>
      </c>
      <c r="Q40" s="14" t="n">
        <f aca="false">IF(AND(N40="Yes",O40="No"),E40*0.02,0)</f>
        <v>0</v>
      </c>
      <c r="R40" s="14" t="n">
        <f aca="false">IF(P40="Yes",E40*0.015,0)</f>
        <v>0</v>
      </c>
    </row>
    <row r="41" customFormat="false" ht="15" hidden="false" customHeight="false" outlineLevel="0" collapsed="false">
      <c r="A41" s="10" t="s">
        <v>100</v>
      </c>
      <c r="B41" s="10" t="s">
        <v>69</v>
      </c>
      <c r="C41" s="10" t="s">
        <v>36</v>
      </c>
      <c r="D41" s="10" t="s">
        <v>62</v>
      </c>
      <c r="E41" s="11" t="n">
        <v>6667.07</v>
      </c>
      <c r="F41" s="10" t="s">
        <v>38</v>
      </c>
      <c r="G41" s="10" t="n">
        <v>1.3</v>
      </c>
      <c r="H41" s="10" t="n">
        <v>3.9</v>
      </c>
      <c r="I41" s="10" t="n">
        <v>4.3</v>
      </c>
      <c r="J41" s="10" t="n">
        <v>7.1</v>
      </c>
      <c r="K41" s="10" t="n">
        <v>1.6</v>
      </c>
      <c r="L41" s="12" t="n">
        <f aca="false">SUM(G41:K41)</f>
        <v>18.2</v>
      </c>
      <c r="M41" s="13" t="str">
        <f aca="false">IF(E41&lt;500,"Tier 0 (&lt;$500)",IF(E41&lt;10000,"Tier 1 ($500-$10K)",IF(E41&lt;50000,"Tier 2 ($10K-$50K)","Tier 3 (&gt;$50K)")))</f>
        <v>Tier 1 ($500-$10K)</v>
      </c>
      <c r="N41" s="13" t="str">
        <f aca="false">IF(F41="2/10 Net 30","Yes","No")</f>
        <v>No</v>
      </c>
      <c r="O41" s="13" t="str">
        <f aca="false">IF(AND(N41="Yes",(G41+H41+I41+J41)&lt;=10),"Yes","No")</f>
        <v>No</v>
      </c>
      <c r="P41" s="13" t="str">
        <f aca="false">IF(L41&gt;30,"Yes","No")</f>
        <v>No</v>
      </c>
      <c r="Q41" s="14" t="n">
        <f aca="false">IF(AND(N41="Yes",O41="No"),E41*0.02,0)</f>
        <v>0</v>
      </c>
      <c r="R41" s="14" t="n">
        <f aca="false">IF(P41="Yes",E41*0.015,0)</f>
        <v>0</v>
      </c>
    </row>
    <row r="42" customFormat="false" ht="15" hidden="false" customHeight="false" outlineLevel="0" collapsed="false">
      <c r="A42" s="10" t="s">
        <v>101</v>
      </c>
      <c r="B42" s="10" t="s">
        <v>53</v>
      </c>
      <c r="C42" s="10" t="s">
        <v>36</v>
      </c>
      <c r="D42" s="10" t="s">
        <v>41</v>
      </c>
      <c r="E42" s="11" t="n">
        <v>3394.39</v>
      </c>
      <c r="F42" s="10" t="s">
        <v>38</v>
      </c>
      <c r="G42" s="10" t="n">
        <v>1.3</v>
      </c>
      <c r="H42" s="10" t="n">
        <v>4.1</v>
      </c>
      <c r="I42" s="10" t="n">
        <v>4.3</v>
      </c>
      <c r="J42" s="10" t="n">
        <v>2.7</v>
      </c>
      <c r="K42" s="10" t="n">
        <v>0.5</v>
      </c>
      <c r="L42" s="12" t="n">
        <f aca="false">SUM(G42:K42)</f>
        <v>12.9</v>
      </c>
      <c r="M42" s="13" t="str">
        <f aca="false">IF(E42&lt;500,"Tier 0 (&lt;$500)",IF(E42&lt;10000,"Tier 1 ($500-$10K)",IF(E42&lt;50000,"Tier 2 ($10K-$50K)","Tier 3 (&gt;$50K)")))</f>
        <v>Tier 1 ($500-$10K)</v>
      </c>
      <c r="N42" s="13" t="str">
        <f aca="false">IF(F42="2/10 Net 30","Yes","No")</f>
        <v>No</v>
      </c>
      <c r="O42" s="13" t="str">
        <f aca="false">IF(AND(N42="Yes",(G42+H42+I42+J42)&lt;=10),"Yes","No")</f>
        <v>No</v>
      </c>
      <c r="P42" s="13" t="str">
        <f aca="false">IF(L42&gt;30,"Yes","No")</f>
        <v>No</v>
      </c>
      <c r="Q42" s="14" t="n">
        <f aca="false">IF(AND(N42="Yes",O42="No"),E42*0.02,0)</f>
        <v>0</v>
      </c>
      <c r="R42" s="14" t="n">
        <f aca="false">IF(P42="Yes",E42*0.015,0)</f>
        <v>0</v>
      </c>
    </row>
    <row r="43" customFormat="false" ht="15" hidden="false" customHeight="false" outlineLevel="0" collapsed="false">
      <c r="A43" s="10" t="s">
        <v>102</v>
      </c>
      <c r="B43" s="10" t="s">
        <v>103</v>
      </c>
      <c r="C43" s="10" t="s">
        <v>36</v>
      </c>
      <c r="D43" s="10" t="s">
        <v>41</v>
      </c>
      <c r="E43" s="11" t="n">
        <v>11442.36</v>
      </c>
      <c r="F43" s="10" t="s">
        <v>38</v>
      </c>
      <c r="G43" s="10" t="n">
        <v>1.9</v>
      </c>
      <c r="H43" s="10" t="n">
        <v>5.9</v>
      </c>
      <c r="I43" s="10" t="n">
        <v>2.4</v>
      </c>
      <c r="J43" s="10" t="n">
        <v>4.6</v>
      </c>
      <c r="K43" s="10" t="n">
        <v>0.9</v>
      </c>
      <c r="L43" s="12" t="n">
        <f aca="false">SUM(G43:K43)</f>
        <v>15.7</v>
      </c>
      <c r="M43" s="13" t="str">
        <f aca="false">IF(E43&lt;500,"Tier 0 (&lt;$500)",IF(E43&lt;10000,"Tier 1 ($500-$10K)",IF(E43&lt;50000,"Tier 2 ($10K-$50K)","Tier 3 (&gt;$50K)")))</f>
        <v>Tier 2 ($10K-$50K)</v>
      </c>
      <c r="N43" s="13" t="str">
        <f aca="false">IF(F43="2/10 Net 30","Yes","No")</f>
        <v>No</v>
      </c>
      <c r="O43" s="13" t="str">
        <f aca="false">IF(AND(N43="Yes",(G43+H43+I43+J43)&lt;=10),"Yes","No")</f>
        <v>No</v>
      </c>
      <c r="P43" s="13" t="str">
        <f aca="false">IF(L43&gt;30,"Yes","No")</f>
        <v>No</v>
      </c>
      <c r="Q43" s="14" t="n">
        <f aca="false">IF(AND(N43="Yes",O43="No"),E43*0.02,0)</f>
        <v>0</v>
      </c>
      <c r="R43" s="14" t="n">
        <f aca="false">IF(P43="Yes",E43*0.015,0)</f>
        <v>0</v>
      </c>
    </row>
    <row r="44" customFormat="false" ht="15" hidden="false" customHeight="false" outlineLevel="0" collapsed="false">
      <c r="A44" s="10" t="s">
        <v>104</v>
      </c>
      <c r="B44" s="10" t="s">
        <v>103</v>
      </c>
      <c r="C44" s="10" t="s">
        <v>36</v>
      </c>
      <c r="D44" s="10" t="s">
        <v>37</v>
      </c>
      <c r="E44" s="11" t="n">
        <v>3503.72</v>
      </c>
      <c r="F44" s="10" t="s">
        <v>38</v>
      </c>
      <c r="G44" s="10" t="n">
        <v>1.6</v>
      </c>
      <c r="H44" s="10" t="n">
        <v>2.3</v>
      </c>
      <c r="I44" s="10" t="n">
        <v>3.8</v>
      </c>
      <c r="J44" s="10" t="n">
        <v>8.2</v>
      </c>
      <c r="K44" s="10" t="n">
        <v>1.1</v>
      </c>
      <c r="L44" s="12" t="n">
        <f aca="false">SUM(G44:K44)</f>
        <v>17</v>
      </c>
      <c r="M44" s="13" t="str">
        <f aca="false">IF(E44&lt;500,"Tier 0 (&lt;$500)",IF(E44&lt;10000,"Tier 1 ($500-$10K)",IF(E44&lt;50000,"Tier 2 ($10K-$50K)","Tier 3 (&gt;$50K)")))</f>
        <v>Tier 1 ($500-$10K)</v>
      </c>
      <c r="N44" s="13" t="str">
        <f aca="false">IF(F44="2/10 Net 30","Yes","No")</f>
        <v>No</v>
      </c>
      <c r="O44" s="13" t="str">
        <f aca="false">IF(AND(N44="Yes",(G44+H44+I44+J44)&lt;=10),"Yes","No")</f>
        <v>No</v>
      </c>
      <c r="P44" s="13" t="str">
        <f aca="false">IF(L44&gt;30,"Yes","No")</f>
        <v>No</v>
      </c>
      <c r="Q44" s="14" t="n">
        <f aca="false">IF(AND(N44="Yes",O44="No"),E44*0.02,0)</f>
        <v>0</v>
      </c>
      <c r="R44" s="14" t="n">
        <f aca="false">IF(P44="Yes",E44*0.015,0)</f>
        <v>0</v>
      </c>
    </row>
    <row r="45" customFormat="false" ht="15" hidden="false" customHeight="false" outlineLevel="0" collapsed="false">
      <c r="A45" s="10" t="s">
        <v>105</v>
      </c>
      <c r="B45" s="10" t="s">
        <v>69</v>
      </c>
      <c r="C45" s="10" t="s">
        <v>36</v>
      </c>
      <c r="D45" s="10" t="s">
        <v>54</v>
      </c>
      <c r="E45" s="11" t="n">
        <v>9249.12</v>
      </c>
      <c r="F45" s="10" t="s">
        <v>38</v>
      </c>
      <c r="G45" s="10" t="n">
        <v>1.1</v>
      </c>
      <c r="H45" s="10" t="n">
        <v>2.9</v>
      </c>
      <c r="I45" s="10" t="n">
        <v>4.4</v>
      </c>
      <c r="J45" s="10" t="n">
        <v>2.6</v>
      </c>
      <c r="K45" s="10" t="n">
        <v>1.2</v>
      </c>
      <c r="L45" s="12" t="n">
        <f aca="false">SUM(G45:K45)</f>
        <v>12.2</v>
      </c>
      <c r="M45" s="13" t="str">
        <f aca="false">IF(E45&lt;500,"Tier 0 (&lt;$500)",IF(E45&lt;10000,"Tier 1 ($500-$10K)",IF(E45&lt;50000,"Tier 2 ($10K-$50K)","Tier 3 (&gt;$50K)")))</f>
        <v>Tier 1 ($500-$10K)</v>
      </c>
      <c r="N45" s="13" t="str">
        <f aca="false">IF(F45="2/10 Net 30","Yes","No")</f>
        <v>No</v>
      </c>
      <c r="O45" s="13" t="str">
        <f aca="false">IF(AND(N45="Yes",(G45+H45+I45+J45)&lt;=10),"Yes","No")</f>
        <v>No</v>
      </c>
      <c r="P45" s="13" t="str">
        <f aca="false">IF(L45&gt;30,"Yes","No")</f>
        <v>No</v>
      </c>
      <c r="Q45" s="14" t="n">
        <f aca="false">IF(AND(N45="Yes",O45="No"),E45*0.02,0)</f>
        <v>0</v>
      </c>
      <c r="R45" s="14" t="n">
        <f aca="false">IF(P45="Yes",E45*0.015,0)</f>
        <v>0</v>
      </c>
    </row>
    <row r="46" customFormat="false" ht="15" hidden="false" customHeight="false" outlineLevel="0" collapsed="false">
      <c r="A46" s="10" t="s">
        <v>106</v>
      </c>
      <c r="B46" s="10" t="s">
        <v>107</v>
      </c>
      <c r="C46" s="10" t="s">
        <v>44</v>
      </c>
      <c r="D46" s="10" t="s">
        <v>45</v>
      </c>
      <c r="E46" s="11" t="n">
        <v>21224.18</v>
      </c>
      <c r="F46" s="10" t="s">
        <v>55</v>
      </c>
      <c r="G46" s="10" t="n">
        <v>1.5</v>
      </c>
      <c r="H46" s="10" t="n">
        <v>5.6</v>
      </c>
      <c r="I46" s="10" t="n">
        <v>1.1</v>
      </c>
      <c r="J46" s="10" t="n">
        <v>3.5</v>
      </c>
      <c r="K46" s="10" t="n">
        <v>0.4</v>
      </c>
      <c r="L46" s="12" t="n">
        <f aca="false">SUM(G46:K46)</f>
        <v>12.1</v>
      </c>
      <c r="M46" s="13" t="str">
        <f aca="false">IF(E46&lt;500,"Tier 0 (&lt;$500)",IF(E46&lt;10000,"Tier 1 ($500-$10K)",IF(E46&lt;50000,"Tier 2 ($10K-$50K)","Tier 3 (&gt;$50K)")))</f>
        <v>Tier 2 ($10K-$50K)</v>
      </c>
      <c r="N46" s="13" t="str">
        <f aca="false">IF(F46="2/10 Net 30","Yes","No")</f>
        <v>Yes</v>
      </c>
      <c r="O46" s="13" t="str">
        <f aca="false">IF(AND(N46="Yes",(G46+H46+I46+J46)&lt;=10),"Yes","No")</f>
        <v>No</v>
      </c>
      <c r="P46" s="13" t="str">
        <f aca="false">IF(L46&gt;30,"Yes","No")</f>
        <v>No</v>
      </c>
      <c r="Q46" s="14" t="n">
        <f aca="false">IF(AND(N46="Yes",O46="No"),E46*0.02,0)</f>
        <v>424.4836</v>
      </c>
      <c r="R46" s="14" t="n">
        <f aca="false">IF(P46="Yes",E46*0.015,0)</f>
        <v>0</v>
      </c>
    </row>
    <row r="47" customFormat="false" ht="15" hidden="false" customHeight="false" outlineLevel="0" collapsed="false">
      <c r="A47" s="10" t="s">
        <v>108</v>
      </c>
      <c r="B47" s="10" t="s">
        <v>109</v>
      </c>
      <c r="C47" s="10" t="s">
        <v>44</v>
      </c>
      <c r="D47" s="10" t="s">
        <v>48</v>
      </c>
      <c r="E47" s="11" t="n">
        <v>16144.36</v>
      </c>
      <c r="F47" s="10" t="s">
        <v>38</v>
      </c>
      <c r="G47" s="10" t="n">
        <v>1.1</v>
      </c>
      <c r="H47" s="10" t="n">
        <v>0.2</v>
      </c>
      <c r="I47" s="10" t="n">
        <v>3</v>
      </c>
      <c r="J47" s="10" t="n">
        <v>7.9</v>
      </c>
      <c r="K47" s="10" t="n">
        <v>1.1</v>
      </c>
      <c r="L47" s="12" t="n">
        <f aca="false">SUM(G47:K47)</f>
        <v>13.3</v>
      </c>
      <c r="M47" s="13" t="str">
        <f aca="false">IF(E47&lt;500,"Tier 0 (&lt;$500)",IF(E47&lt;10000,"Tier 1 ($500-$10K)",IF(E47&lt;50000,"Tier 2 ($10K-$50K)","Tier 3 (&gt;$50K)")))</f>
        <v>Tier 2 ($10K-$50K)</v>
      </c>
      <c r="N47" s="13" t="str">
        <f aca="false">IF(F47="2/10 Net 30","Yes","No")</f>
        <v>No</v>
      </c>
      <c r="O47" s="13" t="str">
        <f aca="false">IF(AND(N47="Yes",(G47+H47+I47+J47)&lt;=10),"Yes","No")</f>
        <v>No</v>
      </c>
      <c r="P47" s="13" t="str">
        <f aca="false">IF(L47&gt;30,"Yes","No")</f>
        <v>No</v>
      </c>
      <c r="Q47" s="14" t="n">
        <f aca="false">IF(AND(N47="Yes",O47="No"),E47*0.02,0)</f>
        <v>0</v>
      </c>
      <c r="R47" s="14" t="n">
        <f aca="false">IF(P47="Yes",E47*0.015,0)</f>
        <v>0</v>
      </c>
    </row>
    <row r="48" customFormat="false" ht="15" hidden="false" customHeight="false" outlineLevel="0" collapsed="false">
      <c r="A48" s="10" t="s">
        <v>110</v>
      </c>
      <c r="B48" s="10" t="s">
        <v>40</v>
      </c>
      <c r="C48" s="10" t="s">
        <v>36</v>
      </c>
      <c r="D48" s="10" t="s">
        <v>62</v>
      </c>
      <c r="E48" s="11" t="n">
        <v>7200.66</v>
      </c>
      <c r="F48" s="10" t="s">
        <v>55</v>
      </c>
      <c r="G48" s="10" t="n">
        <v>1.2</v>
      </c>
      <c r="H48" s="10" t="n">
        <v>4</v>
      </c>
      <c r="I48" s="10" t="n">
        <v>5</v>
      </c>
      <c r="J48" s="10" t="n">
        <v>4.6</v>
      </c>
      <c r="K48" s="10" t="n">
        <v>1.2</v>
      </c>
      <c r="L48" s="12" t="n">
        <f aca="false">SUM(G48:K48)</f>
        <v>16</v>
      </c>
      <c r="M48" s="13" t="str">
        <f aca="false">IF(E48&lt;500,"Tier 0 (&lt;$500)",IF(E48&lt;10000,"Tier 1 ($500-$10K)",IF(E48&lt;50000,"Tier 2 ($10K-$50K)","Tier 3 (&gt;$50K)")))</f>
        <v>Tier 1 ($500-$10K)</v>
      </c>
      <c r="N48" s="13" t="str">
        <f aca="false">IF(F48="2/10 Net 30","Yes","No")</f>
        <v>Yes</v>
      </c>
      <c r="O48" s="13" t="str">
        <f aca="false">IF(AND(N48="Yes",(G48+H48+I48+J48)&lt;=10),"Yes","No")</f>
        <v>No</v>
      </c>
      <c r="P48" s="13" t="str">
        <f aca="false">IF(L48&gt;30,"Yes","No")</f>
        <v>No</v>
      </c>
      <c r="Q48" s="14" t="n">
        <f aca="false">IF(AND(N48="Yes",O48="No"),E48*0.02,0)</f>
        <v>144.0132</v>
      </c>
      <c r="R48" s="14" t="n">
        <f aca="false">IF(P48="Yes",E48*0.015,0)</f>
        <v>0</v>
      </c>
    </row>
    <row r="49" customFormat="false" ht="15" hidden="false" customHeight="false" outlineLevel="0" collapsed="false">
      <c r="A49" s="10" t="s">
        <v>111</v>
      </c>
      <c r="B49" s="10" t="s">
        <v>91</v>
      </c>
      <c r="C49" s="10" t="s">
        <v>36</v>
      </c>
      <c r="D49" s="10" t="s">
        <v>54</v>
      </c>
      <c r="E49" s="11" t="n">
        <v>9895.77</v>
      </c>
      <c r="F49" s="10" t="s">
        <v>38</v>
      </c>
      <c r="G49" s="10" t="n">
        <v>0.9</v>
      </c>
      <c r="H49" s="10" t="n">
        <v>6.2</v>
      </c>
      <c r="I49" s="10" t="n">
        <v>3.5</v>
      </c>
      <c r="J49" s="10" t="n">
        <v>6.2</v>
      </c>
      <c r="K49" s="10" t="n">
        <v>0.9</v>
      </c>
      <c r="L49" s="12" t="n">
        <f aca="false">SUM(G49:K49)</f>
        <v>17.7</v>
      </c>
      <c r="M49" s="13" t="str">
        <f aca="false">IF(E49&lt;500,"Tier 0 (&lt;$500)",IF(E49&lt;10000,"Tier 1 ($500-$10K)",IF(E49&lt;50000,"Tier 2 ($10K-$50K)","Tier 3 (&gt;$50K)")))</f>
        <v>Tier 1 ($500-$10K)</v>
      </c>
      <c r="N49" s="13" t="str">
        <f aca="false">IF(F49="2/10 Net 30","Yes","No")</f>
        <v>No</v>
      </c>
      <c r="O49" s="13" t="str">
        <f aca="false">IF(AND(N49="Yes",(G49+H49+I49+J49)&lt;=10),"Yes","No")</f>
        <v>No</v>
      </c>
      <c r="P49" s="13" t="str">
        <f aca="false">IF(L49&gt;30,"Yes","No")</f>
        <v>No</v>
      </c>
      <c r="Q49" s="14" t="n">
        <f aca="false">IF(AND(N49="Yes",O49="No"),E49*0.02,0)</f>
        <v>0</v>
      </c>
      <c r="R49" s="14" t="n">
        <f aca="false">IF(P49="Yes",E49*0.015,0)</f>
        <v>0</v>
      </c>
    </row>
    <row r="50" customFormat="false" ht="15" hidden="false" customHeight="false" outlineLevel="0" collapsed="false">
      <c r="A50" s="10" t="s">
        <v>112</v>
      </c>
      <c r="B50" s="10" t="s">
        <v>47</v>
      </c>
      <c r="C50" s="10" t="s">
        <v>36</v>
      </c>
      <c r="D50" s="10" t="s">
        <v>62</v>
      </c>
      <c r="E50" s="11" t="n">
        <v>4620.47</v>
      </c>
      <c r="F50" s="10" t="s">
        <v>38</v>
      </c>
      <c r="G50" s="10" t="n">
        <v>1.1</v>
      </c>
      <c r="H50" s="10" t="n">
        <v>2.6</v>
      </c>
      <c r="I50" s="10" t="n">
        <v>3.1</v>
      </c>
      <c r="J50" s="10" t="n">
        <v>4.7</v>
      </c>
      <c r="K50" s="10" t="n">
        <v>0.5</v>
      </c>
      <c r="L50" s="12" t="n">
        <f aca="false">SUM(G50:K50)</f>
        <v>12</v>
      </c>
      <c r="M50" s="13" t="str">
        <f aca="false">IF(E50&lt;500,"Tier 0 (&lt;$500)",IF(E50&lt;10000,"Tier 1 ($500-$10K)",IF(E50&lt;50000,"Tier 2 ($10K-$50K)","Tier 3 (&gt;$50K)")))</f>
        <v>Tier 1 ($500-$10K)</v>
      </c>
      <c r="N50" s="13" t="str">
        <f aca="false">IF(F50="2/10 Net 30","Yes","No")</f>
        <v>No</v>
      </c>
      <c r="O50" s="13" t="str">
        <f aca="false">IF(AND(N50="Yes",(G50+H50+I50+J50)&lt;=10),"Yes","No")</f>
        <v>No</v>
      </c>
      <c r="P50" s="13" t="str">
        <f aca="false">IF(L50&gt;30,"Yes","No")</f>
        <v>No</v>
      </c>
      <c r="Q50" s="14" t="n">
        <f aca="false">IF(AND(N50="Yes",O50="No"),E50*0.02,0)</f>
        <v>0</v>
      </c>
      <c r="R50" s="14" t="n">
        <f aca="false">IF(P50="Yes",E50*0.015,0)</f>
        <v>0</v>
      </c>
    </row>
    <row r="51" customFormat="false" ht="15" hidden="false" customHeight="false" outlineLevel="0" collapsed="false">
      <c r="A51" s="10" t="s">
        <v>113</v>
      </c>
      <c r="B51" s="10" t="s">
        <v>50</v>
      </c>
      <c r="C51" s="10" t="s">
        <v>36</v>
      </c>
      <c r="D51" s="10" t="s">
        <v>48</v>
      </c>
      <c r="E51" s="11" t="n">
        <v>325.72</v>
      </c>
      <c r="F51" s="10" t="s">
        <v>38</v>
      </c>
      <c r="G51" s="10" t="n">
        <v>0.9</v>
      </c>
      <c r="H51" s="10" t="n">
        <v>1.4</v>
      </c>
      <c r="I51" s="10" t="n">
        <v>0</v>
      </c>
      <c r="J51" s="10" t="n">
        <v>0</v>
      </c>
      <c r="K51" s="10" t="n">
        <v>0.8</v>
      </c>
      <c r="L51" s="12" t="n">
        <f aca="false">SUM(G51:K51)</f>
        <v>3.1</v>
      </c>
      <c r="M51" s="13" t="str">
        <f aca="false">IF(E51&lt;500,"Tier 0 (&lt;$500)",IF(E51&lt;10000,"Tier 1 ($500-$10K)",IF(E51&lt;50000,"Tier 2 ($10K-$50K)","Tier 3 (&gt;$50K)")))</f>
        <v>Tier 0 (&lt;$500)</v>
      </c>
      <c r="N51" s="13" t="str">
        <f aca="false">IF(F51="2/10 Net 30","Yes","No")</f>
        <v>No</v>
      </c>
      <c r="O51" s="13" t="str">
        <f aca="false">IF(AND(N51="Yes",(G51+H51+I51+J51)&lt;=10),"Yes","No")</f>
        <v>No</v>
      </c>
      <c r="P51" s="13" t="str">
        <f aca="false">IF(L51&gt;30,"Yes","No")</f>
        <v>No</v>
      </c>
      <c r="Q51" s="14" t="n">
        <f aca="false">IF(AND(N51="Yes",O51="No"),E51*0.02,0)</f>
        <v>0</v>
      </c>
      <c r="R51" s="14" t="n">
        <f aca="false">IF(P51="Yes",E51*0.015,0)</f>
        <v>0</v>
      </c>
    </row>
    <row r="52" customFormat="false" ht="15" hidden="false" customHeight="false" outlineLevel="0" collapsed="false">
      <c r="A52" s="10" t="s">
        <v>114</v>
      </c>
      <c r="B52" s="10" t="s">
        <v>69</v>
      </c>
      <c r="C52" s="10" t="s">
        <v>36</v>
      </c>
      <c r="D52" s="10" t="s">
        <v>37</v>
      </c>
      <c r="E52" s="11" t="n">
        <v>6866.26</v>
      </c>
      <c r="F52" s="10" t="s">
        <v>38</v>
      </c>
      <c r="G52" s="10" t="n">
        <v>1.3</v>
      </c>
      <c r="H52" s="10" t="n">
        <v>2.5</v>
      </c>
      <c r="I52" s="10" t="n">
        <v>4.9</v>
      </c>
      <c r="J52" s="10" t="n">
        <v>5.1</v>
      </c>
      <c r="K52" s="10" t="n">
        <v>1.1</v>
      </c>
      <c r="L52" s="12" t="n">
        <f aca="false">SUM(G52:K52)</f>
        <v>14.9</v>
      </c>
      <c r="M52" s="13" t="str">
        <f aca="false">IF(E52&lt;500,"Tier 0 (&lt;$500)",IF(E52&lt;10000,"Tier 1 ($500-$10K)",IF(E52&lt;50000,"Tier 2 ($10K-$50K)","Tier 3 (&gt;$50K)")))</f>
        <v>Tier 1 ($500-$10K)</v>
      </c>
      <c r="N52" s="13" t="str">
        <f aca="false">IF(F52="2/10 Net 30","Yes","No")</f>
        <v>No</v>
      </c>
      <c r="O52" s="13" t="str">
        <f aca="false">IF(AND(N52="Yes",(G52+H52+I52+J52)&lt;=10),"Yes","No")</f>
        <v>No</v>
      </c>
      <c r="P52" s="13" t="str">
        <f aca="false">IF(L52&gt;30,"Yes","No")</f>
        <v>No</v>
      </c>
      <c r="Q52" s="14" t="n">
        <f aca="false">IF(AND(N52="Yes",O52="No"),E52*0.02,0)</f>
        <v>0</v>
      </c>
      <c r="R52" s="14" t="n">
        <f aca="false">IF(P52="Yes",E52*0.015,0)</f>
        <v>0</v>
      </c>
    </row>
    <row r="53" customFormat="false" ht="15" hidden="false" customHeight="false" outlineLevel="0" collapsed="false">
      <c r="A53" s="10" t="s">
        <v>115</v>
      </c>
      <c r="B53" s="10" t="s">
        <v>69</v>
      </c>
      <c r="C53" s="10" t="s">
        <v>36</v>
      </c>
      <c r="D53" s="10" t="s">
        <v>62</v>
      </c>
      <c r="E53" s="11" t="n">
        <v>436.99</v>
      </c>
      <c r="F53" s="10" t="s">
        <v>38</v>
      </c>
      <c r="G53" s="10" t="n">
        <v>1.1</v>
      </c>
      <c r="H53" s="10" t="n">
        <v>2.9</v>
      </c>
      <c r="I53" s="10" t="n">
        <v>0</v>
      </c>
      <c r="J53" s="10" t="n">
        <v>0</v>
      </c>
      <c r="K53" s="10" t="n">
        <v>0.7</v>
      </c>
      <c r="L53" s="12" t="n">
        <f aca="false">SUM(G53:K53)</f>
        <v>4.7</v>
      </c>
      <c r="M53" s="13" t="str">
        <f aca="false">IF(E53&lt;500,"Tier 0 (&lt;$500)",IF(E53&lt;10000,"Tier 1 ($500-$10K)",IF(E53&lt;50000,"Tier 2 ($10K-$50K)","Tier 3 (&gt;$50K)")))</f>
        <v>Tier 0 (&lt;$500)</v>
      </c>
      <c r="N53" s="13" t="str">
        <f aca="false">IF(F53="2/10 Net 30","Yes","No")</f>
        <v>No</v>
      </c>
      <c r="O53" s="13" t="str">
        <f aca="false">IF(AND(N53="Yes",(G53+H53+I53+J53)&lt;=10),"Yes","No")</f>
        <v>No</v>
      </c>
      <c r="P53" s="13" t="str">
        <f aca="false">IF(L53&gt;30,"Yes","No")</f>
        <v>No</v>
      </c>
      <c r="Q53" s="14" t="n">
        <f aca="false">IF(AND(N53="Yes",O53="No"),E53*0.02,0)</f>
        <v>0</v>
      </c>
      <c r="R53" s="14" t="n">
        <f aca="false">IF(P53="Yes",E53*0.015,0)</f>
        <v>0</v>
      </c>
    </row>
    <row r="54" customFormat="false" ht="15" hidden="false" customHeight="false" outlineLevel="0" collapsed="false">
      <c r="A54" s="10" t="s">
        <v>116</v>
      </c>
      <c r="B54" s="10" t="s">
        <v>69</v>
      </c>
      <c r="C54" s="10" t="s">
        <v>36</v>
      </c>
      <c r="D54" s="10" t="s">
        <v>48</v>
      </c>
      <c r="E54" s="11" t="n">
        <v>31255.91</v>
      </c>
      <c r="F54" s="10" t="s">
        <v>55</v>
      </c>
      <c r="G54" s="10" t="n">
        <v>1.2</v>
      </c>
      <c r="H54" s="10" t="n">
        <v>4.6</v>
      </c>
      <c r="I54" s="10" t="n">
        <v>3.9</v>
      </c>
      <c r="J54" s="10" t="n">
        <v>2.8</v>
      </c>
      <c r="K54" s="10" t="n">
        <v>1.3</v>
      </c>
      <c r="L54" s="12" t="n">
        <f aca="false">SUM(G54:K54)</f>
        <v>13.8</v>
      </c>
      <c r="M54" s="13" t="str">
        <f aca="false">IF(E54&lt;500,"Tier 0 (&lt;$500)",IF(E54&lt;10000,"Tier 1 ($500-$10K)",IF(E54&lt;50000,"Tier 2 ($10K-$50K)","Tier 3 (&gt;$50K)")))</f>
        <v>Tier 2 ($10K-$50K)</v>
      </c>
      <c r="N54" s="13" t="str">
        <f aca="false">IF(F54="2/10 Net 30","Yes","No")</f>
        <v>Yes</v>
      </c>
      <c r="O54" s="13" t="str">
        <f aca="false">IF(AND(N54="Yes",(G54+H54+I54+J54)&lt;=10),"Yes","No")</f>
        <v>No</v>
      </c>
      <c r="P54" s="13" t="str">
        <f aca="false">IF(L54&gt;30,"Yes","No")</f>
        <v>No</v>
      </c>
      <c r="Q54" s="14" t="n">
        <f aca="false">IF(AND(N54="Yes",O54="No"),E54*0.02,0)</f>
        <v>625.1182</v>
      </c>
      <c r="R54" s="14" t="n">
        <f aca="false">IF(P54="Yes",E54*0.015,0)</f>
        <v>0</v>
      </c>
    </row>
    <row r="55" customFormat="false" ht="15" hidden="false" customHeight="false" outlineLevel="0" collapsed="false">
      <c r="A55" s="10" t="s">
        <v>117</v>
      </c>
      <c r="B55" s="10" t="s">
        <v>87</v>
      </c>
      <c r="C55" s="10" t="s">
        <v>36</v>
      </c>
      <c r="D55" s="10" t="s">
        <v>45</v>
      </c>
      <c r="E55" s="11" t="n">
        <v>9309.95</v>
      </c>
      <c r="F55" s="10" t="s">
        <v>38</v>
      </c>
      <c r="G55" s="10" t="n">
        <v>1.3</v>
      </c>
      <c r="H55" s="10" t="n">
        <v>1.8</v>
      </c>
      <c r="I55" s="10" t="n">
        <v>3.7</v>
      </c>
      <c r="J55" s="10" t="n">
        <v>4.4</v>
      </c>
      <c r="K55" s="10" t="n">
        <v>0.7</v>
      </c>
      <c r="L55" s="12" t="n">
        <f aca="false">SUM(G55:K55)</f>
        <v>11.9</v>
      </c>
      <c r="M55" s="13" t="str">
        <f aca="false">IF(E55&lt;500,"Tier 0 (&lt;$500)",IF(E55&lt;10000,"Tier 1 ($500-$10K)",IF(E55&lt;50000,"Tier 2 ($10K-$50K)","Tier 3 (&gt;$50K)")))</f>
        <v>Tier 1 ($500-$10K)</v>
      </c>
      <c r="N55" s="13" t="str">
        <f aca="false">IF(F55="2/10 Net 30","Yes","No")</f>
        <v>No</v>
      </c>
      <c r="O55" s="13" t="str">
        <f aca="false">IF(AND(N55="Yes",(G55+H55+I55+J55)&lt;=10),"Yes","No")</f>
        <v>No</v>
      </c>
      <c r="P55" s="13" t="str">
        <f aca="false">IF(L55&gt;30,"Yes","No")</f>
        <v>No</v>
      </c>
      <c r="Q55" s="14" t="n">
        <f aca="false">IF(AND(N55="Yes",O55="No"),E55*0.02,0)</f>
        <v>0</v>
      </c>
      <c r="R55" s="14" t="n">
        <f aca="false">IF(P55="Yes",E55*0.015,0)</f>
        <v>0</v>
      </c>
    </row>
    <row r="56" customFormat="false" ht="15" hidden="false" customHeight="false" outlineLevel="0" collapsed="false">
      <c r="A56" s="10" t="s">
        <v>118</v>
      </c>
      <c r="B56" s="10" t="s">
        <v>74</v>
      </c>
      <c r="C56" s="10" t="s">
        <v>36</v>
      </c>
      <c r="D56" s="10" t="s">
        <v>54</v>
      </c>
      <c r="E56" s="11" t="n">
        <v>6392.78</v>
      </c>
      <c r="F56" s="10" t="s">
        <v>38</v>
      </c>
      <c r="G56" s="10" t="n">
        <v>1.1</v>
      </c>
      <c r="H56" s="10" t="n">
        <v>4.7</v>
      </c>
      <c r="I56" s="10" t="n">
        <v>0.2</v>
      </c>
      <c r="J56" s="10" t="n">
        <v>2.1</v>
      </c>
      <c r="K56" s="10" t="n">
        <v>0.9</v>
      </c>
      <c r="L56" s="12" t="n">
        <f aca="false">SUM(G56:K56)</f>
        <v>9</v>
      </c>
      <c r="M56" s="13" t="str">
        <f aca="false">IF(E56&lt;500,"Tier 0 (&lt;$500)",IF(E56&lt;10000,"Tier 1 ($500-$10K)",IF(E56&lt;50000,"Tier 2 ($10K-$50K)","Tier 3 (&gt;$50K)")))</f>
        <v>Tier 1 ($500-$10K)</v>
      </c>
      <c r="N56" s="13" t="str">
        <f aca="false">IF(F56="2/10 Net 30","Yes","No")</f>
        <v>No</v>
      </c>
      <c r="O56" s="13" t="str">
        <f aca="false">IF(AND(N56="Yes",(G56+H56+I56+J56)&lt;=10),"Yes","No")</f>
        <v>No</v>
      </c>
      <c r="P56" s="13" t="str">
        <f aca="false">IF(L56&gt;30,"Yes","No")</f>
        <v>No</v>
      </c>
      <c r="Q56" s="14" t="n">
        <f aca="false">IF(AND(N56="Yes",O56="No"),E56*0.02,0)</f>
        <v>0</v>
      </c>
      <c r="R56" s="14" t="n">
        <f aca="false">IF(P56="Yes",E56*0.015,0)</f>
        <v>0</v>
      </c>
    </row>
    <row r="57" customFormat="false" ht="15" hidden="false" customHeight="false" outlineLevel="0" collapsed="false">
      <c r="A57" s="10" t="s">
        <v>119</v>
      </c>
      <c r="B57" s="10" t="s">
        <v>43</v>
      </c>
      <c r="C57" s="10" t="s">
        <v>44</v>
      </c>
      <c r="D57" s="10" t="s">
        <v>45</v>
      </c>
      <c r="E57" s="11" t="n">
        <v>39295.81</v>
      </c>
      <c r="F57" s="10" t="s">
        <v>38</v>
      </c>
      <c r="G57" s="10" t="n">
        <v>1.3</v>
      </c>
      <c r="H57" s="10" t="n">
        <v>4.5</v>
      </c>
      <c r="I57" s="10" t="n">
        <v>6.2</v>
      </c>
      <c r="J57" s="10" t="n">
        <v>2</v>
      </c>
      <c r="K57" s="10" t="n">
        <v>1.1</v>
      </c>
      <c r="L57" s="12" t="n">
        <f aca="false">SUM(G57:K57)</f>
        <v>15.1</v>
      </c>
      <c r="M57" s="13" t="str">
        <f aca="false">IF(E57&lt;500,"Tier 0 (&lt;$500)",IF(E57&lt;10000,"Tier 1 ($500-$10K)",IF(E57&lt;50000,"Tier 2 ($10K-$50K)","Tier 3 (&gt;$50K)")))</f>
        <v>Tier 2 ($10K-$50K)</v>
      </c>
      <c r="N57" s="13" t="str">
        <f aca="false">IF(F57="2/10 Net 30","Yes","No")</f>
        <v>No</v>
      </c>
      <c r="O57" s="13" t="str">
        <f aca="false">IF(AND(N57="Yes",(G57+H57+I57+J57)&lt;=10),"Yes","No")</f>
        <v>No</v>
      </c>
      <c r="P57" s="13" t="str">
        <f aca="false">IF(L57&gt;30,"Yes","No")</f>
        <v>No</v>
      </c>
      <c r="Q57" s="14" t="n">
        <f aca="false">IF(AND(N57="Yes",O57="No"),E57*0.02,0)</f>
        <v>0</v>
      </c>
      <c r="R57" s="14" t="n">
        <f aca="false">IF(P57="Yes",E57*0.015,0)</f>
        <v>0</v>
      </c>
    </row>
    <row r="58" customFormat="false" ht="15" hidden="false" customHeight="false" outlineLevel="0" collapsed="false">
      <c r="A58" s="10" t="s">
        <v>120</v>
      </c>
      <c r="B58" s="10" t="s">
        <v>53</v>
      </c>
      <c r="C58" s="10" t="s">
        <v>36</v>
      </c>
      <c r="D58" s="10" t="s">
        <v>62</v>
      </c>
      <c r="E58" s="11" t="n">
        <v>3791.34</v>
      </c>
      <c r="F58" s="10" t="s">
        <v>55</v>
      </c>
      <c r="G58" s="10" t="n">
        <v>0.8</v>
      </c>
      <c r="H58" s="10" t="n">
        <v>3.4</v>
      </c>
      <c r="I58" s="10" t="n">
        <v>3</v>
      </c>
      <c r="J58" s="10" t="n">
        <v>5.3</v>
      </c>
      <c r="K58" s="10" t="n">
        <v>1.1</v>
      </c>
      <c r="L58" s="12" t="n">
        <f aca="false">SUM(G58:K58)</f>
        <v>13.6</v>
      </c>
      <c r="M58" s="13" t="str">
        <f aca="false">IF(E58&lt;500,"Tier 0 (&lt;$500)",IF(E58&lt;10000,"Tier 1 ($500-$10K)",IF(E58&lt;50000,"Tier 2 ($10K-$50K)","Tier 3 (&gt;$50K)")))</f>
        <v>Tier 1 ($500-$10K)</v>
      </c>
      <c r="N58" s="13" t="str">
        <f aca="false">IF(F58="2/10 Net 30","Yes","No")</f>
        <v>Yes</v>
      </c>
      <c r="O58" s="13" t="str">
        <f aca="false">IF(AND(N58="Yes",(G58+H58+I58+J58)&lt;=10),"Yes","No")</f>
        <v>No</v>
      </c>
      <c r="P58" s="13" t="str">
        <f aca="false">IF(L58&gt;30,"Yes","No")</f>
        <v>No</v>
      </c>
      <c r="Q58" s="14" t="n">
        <f aca="false">IF(AND(N58="Yes",O58="No"),E58*0.02,0)</f>
        <v>75.8268</v>
      </c>
      <c r="R58" s="14" t="n">
        <f aca="false">IF(P58="Yes",E58*0.015,0)</f>
        <v>0</v>
      </c>
    </row>
    <row r="59" customFormat="false" ht="15" hidden="false" customHeight="false" outlineLevel="0" collapsed="false">
      <c r="A59" s="10" t="s">
        <v>121</v>
      </c>
      <c r="B59" s="10" t="s">
        <v>82</v>
      </c>
      <c r="C59" s="10" t="s">
        <v>44</v>
      </c>
      <c r="D59" s="10" t="s">
        <v>48</v>
      </c>
      <c r="E59" s="11" t="n">
        <v>8039.19</v>
      </c>
      <c r="F59" s="10" t="s">
        <v>55</v>
      </c>
      <c r="G59" s="10" t="n">
        <v>1.4</v>
      </c>
      <c r="H59" s="10" t="n">
        <v>3.1</v>
      </c>
      <c r="I59" s="10" t="n">
        <v>4.6</v>
      </c>
      <c r="J59" s="10" t="n">
        <v>5.2</v>
      </c>
      <c r="K59" s="10" t="n">
        <v>1.1</v>
      </c>
      <c r="L59" s="12" t="n">
        <f aca="false">SUM(G59:K59)</f>
        <v>15.4</v>
      </c>
      <c r="M59" s="13" t="str">
        <f aca="false">IF(E59&lt;500,"Tier 0 (&lt;$500)",IF(E59&lt;10000,"Tier 1 ($500-$10K)",IF(E59&lt;50000,"Tier 2 ($10K-$50K)","Tier 3 (&gt;$50K)")))</f>
        <v>Tier 1 ($500-$10K)</v>
      </c>
      <c r="N59" s="13" t="str">
        <f aca="false">IF(F59="2/10 Net 30","Yes","No")</f>
        <v>Yes</v>
      </c>
      <c r="O59" s="13" t="str">
        <f aca="false">IF(AND(N59="Yes",(G59+H59+I59+J59)&lt;=10),"Yes","No")</f>
        <v>No</v>
      </c>
      <c r="P59" s="13" t="str">
        <f aca="false">IF(L59&gt;30,"Yes","No")</f>
        <v>No</v>
      </c>
      <c r="Q59" s="14" t="n">
        <f aca="false">IF(AND(N59="Yes",O59="No"),E59*0.02,0)</f>
        <v>160.7838</v>
      </c>
      <c r="R59" s="14" t="n">
        <f aca="false">IF(P59="Yes",E59*0.015,0)</f>
        <v>0</v>
      </c>
    </row>
    <row r="60" customFormat="false" ht="15" hidden="false" customHeight="false" outlineLevel="0" collapsed="false">
      <c r="A60" s="10" t="s">
        <v>122</v>
      </c>
      <c r="B60" s="10" t="s">
        <v>53</v>
      </c>
      <c r="C60" s="10" t="s">
        <v>36</v>
      </c>
      <c r="D60" s="10" t="s">
        <v>45</v>
      </c>
      <c r="E60" s="11" t="n">
        <v>125.79</v>
      </c>
      <c r="F60" s="10" t="s">
        <v>38</v>
      </c>
      <c r="G60" s="10" t="n">
        <v>0.7</v>
      </c>
      <c r="H60" s="10" t="n">
        <v>4.8</v>
      </c>
      <c r="I60" s="10" t="n">
        <v>0</v>
      </c>
      <c r="J60" s="10" t="n">
        <v>0</v>
      </c>
      <c r="K60" s="10" t="n">
        <v>0.8</v>
      </c>
      <c r="L60" s="12" t="n">
        <f aca="false">SUM(G60:K60)</f>
        <v>6.3</v>
      </c>
      <c r="M60" s="13" t="str">
        <f aca="false">IF(E60&lt;500,"Tier 0 (&lt;$500)",IF(E60&lt;10000,"Tier 1 ($500-$10K)",IF(E60&lt;50000,"Tier 2 ($10K-$50K)","Tier 3 (&gt;$50K)")))</f>
        <v>Tier 0 (&lt;$500)</v>
      </c>
      <c r="N60" s="13" t="str">
        <f aca="false">IF(F60="2/10 Net 30","Yes","No")</f>
        <v>No</v>
      </c>
      <c r="O60" s="13" t="str">
        <f aca="false">IF(AND(N60="Yes",(G60+H60+I60+J60)&lt;=10),"Yes","No")</f>
        <v>No</v>
      </c>
      <c r="P60" s="13" t="str">
        <f aca="false">IF(L60&gt;30,"Yes","No")</f>
        <v>No</v>
      </c>
      <c r="Q60" s="14" t="n">
        <f aca="false">IF(AND(N60="Yes",O60="No"),E60*0.02,0)</f>
        <v>0</v>
      </c>
      <c r="R60" s="14" t="n">
        <f aca="false">IF(P60="Yes",E60*0.015,0)</f>
        <v>0</v>
      </c>
    </row>
    <row r="61" customFormat="false" ht="15" hidden="false" customHeight="false" outlineLevel="0" collapsed="false">
      <c r="A61" s="10" t="s">
        <v>123</v>
      </c>
      <c r="B61" s="10" t="s">
        <v>67</v>
      </c>
      <c r="C61" s="10" t="s">
        <v>36</v>
      </c>
      <c r="D61" s="10" t="s">
        <v>62</v>
      </c>
      <c r="E61" s="11" t="n">
        <v>100.52</v>
      </c>
      <c r="F61" s="10" t="s">
        <v>55</v>
      </c>
      <c r="G61" s="10" t="n">
        <v>1.7</v>
      </c>
      <c r="H61" s="10" t="n">
        <v>3.4</v>
      </c>
      <c r="I61" s="10" t="n">
        <v>0</v>
      </c>
      <c r="J61" s="10" t="n">
        <v>0</v>
      </c>
      <c r="K61" s="10" t="n">
        <v>1</v>
      </c>
      <c r="L61" s="12" t="n">
        <f aca="false">SUM(G61:K61)</f>
        <v>6.1</v>
      </c>
      <c r="M61" s="13" t="str">
        <f aca="false">IF(E61&lt;500,"Tier 0 (&lt;$500)",IF(E61&lt;10000,"Tier 1 ($500-$10K)",IF(E61&lt;50000,"Tier 2 ($10K-$50K)","Tier 3 (&gt;$50K)")))</f>
        <v>Tier 0 (&lt;$500)</v>
      </c>
      <c r="N61" s="13" t="str">
        <f aca="false">IF(F61="2/10 Net 30","Yes","No")</f>
        <v>Yes</v>
      </c>
      <c r="O61" s="13" t="str">
        <f aca="false">IF(AND(N61="Yes",(G61+H61+I61+J61)&lt;=10),"Yes","No")</f>
        <v>Yes</v>
      </c>
      <c r="P61" s="13" t="str">
        <f aca="false">IF(L61&gt;30,"Yes","No")</f>
        <v>No</v>
      </c>
      <c r="Q61" s="14" t="n">
        <f aca="false">IF(AND(N61="Yes",O61="No"),E61*0.02,0)</f>
        <v>0</v>
      </c>
      <c r="R61" s="14" t="n">
        <f aca="false">IF(P61="Yes",E61*0.015,0)</f>
        <v>0</v>
      </c>
    </row>
    <row r="62" customFormat="false" ht="15" hidden="false" customHeight="false" outlineLevel="0" collapsed="false">
      <c r="A62" s="10" t="s">
        <v>124</v>
      </c>
      <c r="B62" s="10" t="s">
        <v>87</v>
      </c>
      <c r="C62" s="10" t="s">
        <v>36</v>
      </c>
      <c r="D62" s="10" t="s">
        <v>62</v>
      </c>
      <c r="E62" s="11" t="n">
        <v>781.24</v>
      </c>
      <c r="F62" s="10" t="s">
        <v>38</v>
      </c>
      <c r="G62" s="10" t="n">
        <v>1.1</v>
      </c>
      <c r="H62" s="10" t="n">
        <v>6.3</v>
      </c>
      <c r="I62" s="10" t="n">
        <v>2.2</v>
      </c>
      <c r="J62" s="10" t="n">
        <v>0.2</v>
      </c>
      <c r="K62" s="10" t="n">
        <v>1.5</v>
      </c>
      <c r="L62" s="12" t="n">
        <f aca="false">SUM(G62:K62)</f>
        <v>11.3</v>
      </c>
      <c r="M62" s="13" t="str">
        <f aca="false">IF(E62&lt;500,"Tier 0 (&lt;$500)",IF(E62&lt;10000,"Tier 1 ($500-$10K)",IF(E62&lt;50000,"Tier 2 ($10K-$50K)","Tier 3 (&gt;$50K)")))</f>
        <v>Tier 1 ($500-$10K)</v>
      </c>
      <c r="N62" s="13" t="str">
        <f aca="false">IF(F62="2/10 Net 30","Yes","No")</f>
        <v>No</v>
      </c>
      <c r="O62" s="13" t="str">
        <f aca="false">IF(AND(N62="Yes",(G62+H62+I62+J62)&lt;=10),"Yes","No")</f>
        <v>No</v>
      </c>
      <c r="P62" s="13" t="str">
        <f aca="false">IF(L62&gt;30,"Yes","No")</f>
        <v>No</v>
      </c>
      <c r="Q62" s="14" t="n">
        <f aca="false">IF(AND(N62="Yes",O62="No"),E62*0.02,0)</f>
        <v>0</v>
      </c>
      <c r="R62" s="14" t="n">
        <f aca="false">IF(P62="Yes",E62*0.015,0)</f>
        <v>0</v>
      </c>
    </row>
    <row r="63" customFormat="false" ht="15" hidden="false" customHeight="false" outlineLevel="0" collapsed="false">
      <c r="A63" s="10" t="s">
        <v>125</v>
      </c>
      <c r="B63" s="10" t="s">
        <v>58</v>
      </c>
      <c r="C63" s="10" t="s">
        <v>44</v>
      </c>
      <c r="D63" s="10" t="s">
        <v>41</v>
      </c>
      <c r="E63" s="11" t="n">
        <v>6107.45</v>
      </c>
      <c r="F63" s="10" t="s">
        <v>55</v>
      </c>
      <c r="G63" s="10" t="n">
        <v>1.5</v>
      </c>
      <c r="H63" s="10" t="n">
        <v>3.8</v>
      </c>
      <c r="I63" s="10" t="n">
        <v>2.1</v>
      </c>
      <c r="J63" s="10" t="n">
        <v>4.9</v>
      </c>
      <c r="K63" s="10" t="n">
        <v>1.2</v>
      </c>
      <c r="L63" s="12" t="n">
        <f aca="false">SUM(G63:K63)</f>
        <v>13.5</v>
      </c>
      <c r="M63" s="13" t="str">
        <f aca="false">IF(E63&lt;500,"Tier 0 (&lt;$500)",IF(E63&lt;10000,"Tier 1 ($500-$10K)",IF(E63&lt;50000,"Tier 2 ($10K-$50K)","Tier 3 (&gt;$50K)")))</f>
        <v>Tier 1 ($500-$10K)</v>
      </c>
      <c r="N63" s="13" t="str">
        <f aca="false">IF(F63="2/10 Net 30","Yes","No")</f>
        <v>Yes</v>
      </c>
      <c r="O63" s="13" t="str">
        <f aca="false">IF(AND(N63="Yes",(G63+H63+I63+J63)&lt;=10),"Yes","No")</f>
        <v>No</v>
      </c>
      <c r="P63" s="13" t="str">
        <f aca="false">IF(L63&gt;30,"Yes","No")</f>
        <v>No</v>
      </c>
      <c r="Q63" s="14" t="n">
        <f aca="false">IF(AND(N63="Yes",O63="No"),E63*0.02,0)</f>
        <v>122.149</v>
      </c>
      <c r="R63" s="14" t="n">
        <f aca="false">IF(P63="Yes",E63*0.015,0)</f>
        <v>0</v>
      </c>
    </row>
    <row r="64" customFormat="false" ht="15" hidden="false" customHeight="false" outlineLevel="0" collapsed="false">
      <c r="A64" s="10" t="s">
        <v>126</v>
      </c>
      <c r="B64" s="10" t="s">
        <v>91</v>
      </c>
      <c r="C64" s="10" t="s">
        <v>36</v>
      </c>
      <c r="D64" s="10" t="s">
        <v>62</v>
      </c>
      <c r="E64" s="11" t="n">
        <v>9987.06</v>
      </c>
      <c r="F64" s="10" t="s">
        <v>55</v>
      </c>
      <c r="G64" s="10" t="n">
        <v>1.1</v>
      </c>
      <c r="H64" s="10" t="n">
        <v>3.9</v>
      </c>
      <c r="I64" s="10" t="n">
        <v>4.7</v>
      </c>
      <c r="J64" s="10" t="n">
        <v>1.2</v>
      </c>
      <c r="K64" s="10" t="n">
        <v>1</v>
      </c>
      <c r="L64" s="12" t="n">
        <f aca="false">SUM(G64:K64)</f>
        <v>11.9</v>
      </c>
      <c r="M64" s="13" t="str">
        <f aca="false">IF(E64&lt;500,"Tier 0 (&lt;$500)",IF(E64&lt;10000,"Tier 1 ($500-$10K)",IF(E64&lt;50000,"Tier 2 ($10K-$50K)","Tier 3 (&gt;$50K)")))</f>
        <v>Tier 1 ($500-$10K)</v>
      </c>
      <c r="N64" s="13" t="str">
        <f aca="false">IF(F64="2/10 Net 30","Yes","No")</f>
        <v>Yes</v>
      </c>
      <c r="O64" s="13" t="str">
        <f aca="false">IF(AND(N64="Yes",(G64+H64+I64+J64)&lt;=10),"Yes","No")</f>
        <v>No</v>
      </c>
      <c r="P64" s="13" t="str">
        <f aca="false">IF(L64&gt;30,"Yes","No")</f>
        <v>No</v>
      </c>
      <c r="Q64" s="14" t="n">
        <f aca="false">IF(AND(N64="Yes",O64="No"),E64*0.02,0)</f>
        <v>199.7412</v>
      </c>
      <c r="R64" s="14" t="n">
        <f aca="false">IF(P64="Yes",E64*0.015,0)</f>
        <v>0</v>
      </c>
    </row>
    <row r="65" customFormat="false" ht="15" hidden="false" customHeight="false" outlineLevel="0" collapsed="false">
      <c r="A65" s="10" t="s">
        <v>127</v>
      </c>
      <c r="B65" s="10" t="s">
        <v>82</v>
      </c>
      <c r="C65" s="10" t="s">
        <v>44</v>
      </c>
      <c r="D65" s="10" t="s">
        <v>48</v>
      </c>
      <c r="E65" s="11" t="n">
        <v>15374.54</v>
      </c>
      <c r="F65" s="10" t="s">
        <v>55</v>
      </c>
      <c r="G65" s="10" t="n">
        <v>1.2</v>
      </c>
      <c r="H65" s="10" t="n">
        <v>5</v>
      </c>
      <c r="I65" s="10" t="n">
        <v>4.3</v>
      </c>
      <c r="J65" s="10" t="n">
        <v>2.6</v>
      </c>
      <c r="K65" s="10" t="n">
        <v>1.1</v>
      </c>
      <c r="L65" s="12" t="n">
        <f aca="false">SUM(G65:K65)</f>
        <v>14.2</v>
      </c>
      <c r="M65" s="13" t="str">
        <f aca="false">IF(E65&lt;500,"Tier 0 (&lt;$500)",IF(E65&lt;10000,"Tier 1 ($500-$10K)",IF(E65&lt;50000,"Tier 2 ($10K-$50K)","Tier 3 (&gt;$50K)")))</f>
        <v>Tier 2 ($10K-$50K)</v>
      </c>
      <c r="N65" s="13" t="str">
        <f aca="false">IF(F65="2/10 Net 30","Yes","No")</f>
        <v>Yes</v>
      </c>
      <c r="O65" s="13" t="str">
        <f aca="false">IF(AND(N65="Yes",(G65+H65+I65+J65)&lt;=10),"Yes","No")</f>
        <v>No</v>
      </c>
      <c r="P65" s="13" t="str">
        <f aca="false">IF(L65&gt;30,"Yes","No")</f>
        <v>No</v>
      </c>
      <c r="Q65" s="14" t="n">
        <f aca="false">IF(AND(N65="Yes",O65="No"),E65*0.02,0)</f>
        <v>307.4908</v>
      </c>
      <c r="R65" s="14" t="n">
        <f aca="false">IF(P65="Yes",E65*0.015,0)</f>
        <v>0</v>
      </c>
    </row>
    <row r="66" customFormat="false" ht="15" hidden="false" customHeight="false" outlineLevel="0" collapsed="false">
      <c r="A66" s="10" t="s">
        <v>128</v>
      </c>
      <c r="B66" s="10" t="s">
        <v>91</v>
      </c>
      <c r="C66" s="10" t="s">
        <v>36</v>
      </c>
      <c r="D66" s="10" t="s">
        <v>48</v>
      </c>
      <c r="E66" s="11" t="n">
        <v>9611.53</v>
      </c>
      <c r="F66" s="10" t="s">
        <v>38</v>
      </c>
      <c r="G66" s="10" t="n">
        <v>0.9</v>
      </c>
      <c r="H66" s="10" t="n">
        <v>3.6</v>
      </c>
      <c r="I66" s="10" t="n">
        <v>3.7</v>
      </c>
      <c r="J66" s="10" t="n">
        <v>1.3</v>
      </c>
      <c r="K66" s="10" t="n">
        <v>0.5</v>
      </c>
      <c r="L66" s="12" t="n">
        <f aca="false">SUM(G66:K66)</f>
        <v>10</v>
      </c>
      <c r="M66" s="13" t="str">
        <f aca="false">IF(E66&lt;500,"Tier 0 (&lt;$500)",IF(E66&lt;10000,"Tier 1 ($500-$10K)",IF(E66&lt;50000,"Tier 2 ($10K-$50K)","Tier 3 (&gt;$50K)")))</f>
        <v>Tier 1 ($500-$10K)</v>
      </c>
      <c r="N66" s="13" t="str">
        <f aca="false">IF(F66="2/10 Net 30","Yes","No")</f>
        <v>No</v>
      </c>
      <c r="O66" s="13" t="str">
        <f aca="false">IF(AND(N66="Yes",(G66+H66+I66+J66)&lt;=10),"Yes","No")</f>
        <v>No</v>
      </c>
      <c r="P66" s="13" t="str">
        <f aca="false">IF(L66&gt;30,"Yes","No")</f>
        <v>No</v>
      </c>
      <c r="Q66" s="14" t="n">
        <f aca="false">IF(AND(N66="Yes",O66="No"),E66*0.02,0)</f>
        <v>0</v>
      </c>
      <c r="R66" s="14" t="n">
        <f aca="false">IF(P66="Yes",E66*0.015,0)</f>
        <v>0</v>
      </c>
    </row>
    <row r="67" customFormat="false" ht="15" hidden="false" customHeight="false" outlineLevel="0" collapsed="false">
      <c r="A67" s="10" t="s">
        <v>129</v>
      </c>
      <c r="B67" s="10" t="s">
        <v>71</v>
      </c>
      <c r="C67" s="10" t="s">
        <v>44</v>
      </c>
      <c r="D67" s="10" t="s">
        <v>37</v>
      </c>
      <c r="E67" s="11" t="n">
        <v>7551.28</v>
      </c>
      <c r="F67" s="10" t="s">
        <v>38</v>
      </c>
      <c r="G67" s="10" t="n">
        <v>1.7</v>
      </c>
      <c r="H67" s="10" t="n">
        <v>3</v>
      </c>
      <c r="I67" s="10" t="n">
        <v>1.8</v>
      </c>
      <c r="J67" s="10" t="n">
        <v>5.3</v>
      </c>
      <c r="K67" s="10" t="n">
        <v>1.1</v>
      </c>
      <c r="L67" s="12" t="n">
        <f aca="false">SUM(G67:K67)</f>
        <v>12.9</v>
      </c>
      <c r="M67" s="13" t="str">
        <f aca="false">IF(E67&lt;500,"Tier 0 (&lt;$500)",IF(E67&lt;10000,"Tier 1 ($500-$10K)",IF(E67&lt;50000,"Tier 2 ($10K-$50K)","Tier 3 (&gt;$50K)")))</f>
        <v>Tier 1 ($500-$10K)</v>
      </c>
      <c r="N67" s="13" t="str">
        <f aca="false">IF(F67="2/10 Net 30","Yes","No")</f>
        <v>No</v>
      </c>
      <c r="O67" s="13" t="str">
        <f aca="false">IF(AND(N67="Yes",(G67+H67+I67+J67)&lt;=10),"Yes","No")</f>
        <v>No</v>
      </c>
      <c r="P67" s="13" t="str">
        <f aca="false">IF(L67&gt;30,"Yes","No")</f>
        <v>No</v>
      </c>
      <c r="Q67" s="14" t="n">
        <f aca="false">IF(AND(N67="Yes",O67="No"),E67*0.02,0)</f>
        <v>0</v>
      </c>
      <c r="R67" s="14" t="n">
        <f aca="false">IF(P67="Yes",E67*0.015,0)</f>
        <v>0</v>
      </c>
    </row>
    <row r="68" customFormat="false" ht="15" hidden="false" customHeight="false" outlineLevel="0" collapsed="false">
      <c r="A68" s="10" t="s">
        <v>130</v>
      </c>
      <c r="B68" s="10" t="s">
        <v>43</v>
      </c>
      <c r="C68" s="10" t="s">
        <v>44</v>
      </c>
      <c r="D68" s="10" t="s">
        <v>41</v>
      </c>
      <c r="E68" s="11" t="n">
        <v>5833.59</v>
      </c>
      <c r="F68" s="10" t="s">
        <v>38</v>
      </c>
      <c r="G68" s="10" t="n">
        <v>1.5</v>
      </c>
      <c r="H68" s="10" t="n">
        <v>5.4</v>
      </c>
      <c r="I68" s="10" t="n">
        <v>4.7</v>
      </c>
      <c r="J68" s="10" t="n">
        <v>6</v>
      </c>
      <c r="K68" s="10" t="n">
        <v>0.8</v>
      </c>
      <c r="L68" s="12" t="n">
        <f aca="false">SUM(G68:K68)</f>
        <v>18.4</v>
      </c>
      <c r="M68" s="13" t="str">
        <f aca="false">IF(E68&lt;500,"Tier 0 (&lt;$500)",IF(E68&lt;10000,"Tier 1 ($500-$10K)",IF(E68&lt;50000,"Tier 2 ($10K-$50K)","Tier 3 (&gt;$50K)")))</f>
        <v>Tier 1 ($500-$10K)</v>
      </c>
      <c r="N68" s="13" t="str">
        <f aca="false">IF(F68="2/10 Net 30","Yes","No")</f>
        <v>No</v>
      </c>
      <c r="O68" s="13" t="str">
        <f aca="false">IF(AND(N68="Yes",(G68+H68+I68+J68)&lt;=10),"Yes","No")</f>
        <v>No</v>
      </c>
      <c r="P68" s="13" t="str">
        <f aca="false">IF(L68&gt;30,"Yes","No")</f>
        <v>No</v>
      </c>
      <c r="Q68" s="14" t="n">
        <f aca="false">IF(AND(N68="Yes",O68="No"),E68*0.02,0)</f>
        <v>0</v>
      </c>
      <c r="R68" s="14" t="n">
        <f aca="false">IF(P68="Yes",E68*0.015,0)</f>
        <v>0</v>
      </c>
    </row>
    <row r="69" customFormat="false" ht="15" hidden="false" customHeight="false" outlineLevel="0" collapsed="false">
      <c r="A69" s="10" t="s">
        <v>131</v>
      </c>
      <c r="B69" s="10" t="s">
        <v>98</v>
      </c>
      <c r="C69" s="10" t="s">
        <v>44</v>
      </c>
      <c r="D69" s="10" t="s">
        <v>54</v>
      </c>
      <c r="E69" s="11" t="n">
        <v>7981.32</v>
      </c>
      <c r="F69" s="10" t="s">
        <v>55</v>
      </c>
      <c r="G69" s="10" t="n">
        <v>1.9</v>
      </c>
      <c r="H69" s="10" t="n">
        <v>6.5</v>
      </c>
      <c r="I69" s="10" t="n">
        <v>3.1</v>
      </c>
      <c r="J69" s="10" t="n">
        <v>3.3</v>
      </c>
      <c r="K69" s="10" t="n">
        <v>1.1</v>
      </c>
      <c r="L69" s="12" t="n">
        <f aca="false">SUM(G69:K69)</f>
        <v>15.9</v>
      </c>
      <c r="M69" s="13" t="str">
        <f aca="false">IF(E69&lt;500,"Tier 0 (&lt;$500)",IF(E69&lt;10000,"Tier 1 ($500-$10K)",IF(E69&lt;50000,"Tier 2 ($10K-$50K)","Tier 3 (&gt;$50K)")))</f>
        <v>Tier 1 ($500-$10K)</v>
      </c>
      <c r="N69" s="13" t="str">
        <f aca="false">IF(F69="2/10 Net 30","Yes","No")</f>
        <v>Yes</v>
      </c>
      <c r="O69" s="13" t="str">
        <f aca="false">IF(AND(N69="Yes",(G69+H69+I69+J69)&lt;=10),"Yes","No")</f>
        <v>No</v>
      </c>
      <c r="P69" s="13" t="str">
        <f aca="false">IF(L69&gt;30,"Yes","No")</f>
        <v>No</v>
      </c>
      <c r="Q69" s="14" t="n">
        <f aca="false">IF(AND(N69="Yes",O69="No"),E69*0.02,0)</f>
        <v>159.6264</v>
      </c>
      <c r="R69" s="14" t="n">
        <f aca="false">IF(P69="Yes",E69*0.015,0)</f>
        <v>0</v>
      </c>
    </row>
    <row r="70" customFormat="false" ht="15" hidden="false" customHeight="false" outlineLevel="0" collapsed="false">
      <c r="A70" s="10" t="s">
        <v>132</v>
      </c>
      <c r="B70" s="10" t="s">
        <v>35</v>
      </c>
      <c r="C70" s="10" t="s">
        <v>36</v>
      </c>
      <c r="D70" s="10" t="s">
        <v>45</v>
      </c>
      <c r="E70" s="11" t="n">
        <v>482.15</v>
      </c>
      <c r="F70" s="10" t="s">
        <v>55</v>
      </c>
      <c r="G70" s="10" t="n">
        <v>0.9</v>
      </c>
      <c r="H70" s="10" t="n">
        <v>0.4</v>
      </c>
      <c r="I70" s="10" t="n">
        <v>0</v>
      </c>
      <c r="J70" s="10" t="n">
        <v>0</v>
      </c>
      <c r="K70" s="10" t="n">
        <v>0.7</v>
      </c>
      <c r="L70" s="12" t="n">
        <f aca="false">SUM(G70:K70)</f>
        <v>2</v>
      </c>
      <c r="M70" s="13" t="str">
        <f aca="false">IF(E70&lt;500,"Tier 0 (&lt;$500)",IF(E70&lt;10000,"Tier 1 ($500-$10K)",IF(E70&lt;50000,"Tier 2 ($10K-$50K)","Tier 3 (&gt;$50K)")))</f>
        <v>Tier 0 (&lt;$500)</v>
      </c>
      <c r="N70" s="13" t="str">
        <f aca="false">IF(F70="2/10 Net 30","Yes","No")</f>
        <v>Yes</v>
      </c>
      <c r="O70" s="13" t="str">
        <f aca="false">IF(AND(N70="Yes",(G70+H70+I70+J70)&lt;=10),"Yes","No")</f>
        <v>Yes</v>
      </c>
      <c r="P70" s="13" t="str">
        <f aca="false">IF(L70&gt;30,"Yes","No")</f>
        <v>No</v>
      </c>
      <c r="Q70" s="14" t="n">
        <f aca="false">IF(AND(N70="Yes",O70="No"),E70*0.02,0)</f>
        <v>0</v>
      </c>
      <c r="R70" s="14" t="n">
        <f aca="false">IF(P70="Yes",E70*0.015,0)</f>
        <v>0</v>
      </c>
    </row>
    <row r="71" customFormat="false" ht="15" hidden="false" customHeight="false" outlineLevel="0" collapsed="false">
      <c r="A71" s="10" t="s">
        <v>133</v>
      </c>
      <c r="B71" s="10" t="s">
        <v>87</v>
      </c>
      <c r="C71" s="10" t="s">
        <v>36</v>
      </c>
      <c r="D71" s="10" t="s">
        <v>37</v>
      </c>
      <c r="E71" s="11" t="n">
        <v>3469.1</v>
      </c>
      <c r="F71" s="10" t="s">
        <v>55</v>
      </c>
      <c r="G71" s="10" t="n">
        <v>0.8</v>
      </c>
      <c r="H71" s="10" t="n">
        <v>4</v>
      </c>
      <c r="I71" s="10" t="n">
        <v>5.4</v>
      </c>
      <c r="J71" s="10" t="n">
        <v>2.4</v>
      </c>
      <c r="K71" s="10" t="n">
        <v>0.7</v>
      </c>
      <c r="L71" s="12" t="n">
        <f aca="false">SUM(G71:K71)</f>
        <v>13.3</v>
      </c>
      <c r="M71" s="13" t="str">
        <f aca="false">IF(E71&lt;500,"Tier 0 (&lt;$500)",IF(E71&lt;10000,"Tier 1 ($500-$10K)",IF(E71&lt;50000,"Tier 2 ($10K-$50K)","Tier 3 (&gt;$50K)")))</f>
        <v>Tier 1 ($500-$10K)</v>
      </c>
      <c r="N71" s="13" t="str">
        <f aca="false">IF(F71="2/10 Net 30","Yes","No")</f>
        <v>Yes</v>
      </c>
      <c r="O71" s="13" t="str">
        <f aca="false">IF(AND(N71="Yes",(G71+H71+I71+J71)&lt;=10),"Yes","No")</f>
        <v>No</v>
      </c>
      <c r="P71" s="13" t="str">
        <f aca="false">IF(L71&gt;30,"Yes","No")</f>
        <v>No</v>
      </c>
      <c r="Q71" s="14" t="n">
        <f aca="false">IF(AND(N71="Yes",O71="No"),E71*0.02,0)</f>
        <v>69.382</v>
      </c>
      <c r="R71" s="14" t="n">
        <f aca="false">IF(P71="Yes",E71*0.015,0)</f>
        <v>0</v>
      </c>
    </row>
    <row r="72" customFormat="false" ht="15" hidden="false" customHeight="false" outlineLevel="0" collapsed="false">
      <c r="A72" s="10" t="s">
        <v>134</v>
      </c>
      <c r="B72" s="10" t="s">
        <v>91</v>
      </c>
      <c r="C72" s="10" t="s">
        <v>36</v>
      </c>
      <c r="D72" s="10" t="s">
        <v>48</v>
      </c>
      <c r="E72" s="11" t="n">
        <v>4457.37</v>
      </c>
      <c r="F72" s="10" t="s">
        <v>55</v>
      </c>
      <c r="G72" s="10" t="n">
        <v>1.4</v>
      </c>
      <c r="H72" s="10" t="n">
        <v>2.4</v>
      </c>
      <c r="I72" s="10" t="n">
        <v>3.8</v>
      </c>
      <c r="J72" s="10" t="n">
        <v>3.7</v>
      </c>
      <c r="K72" s="10" t="n">
        <v>0.6</v>
      </c>
      <c r="L72" s="12" t="n">
        <f aca="false">SUM(G72:K72)</f>
        <v>11.9</v>
      </c>
      <c r="M72" s="13" t="str">
        <f aca="false">IF(E72&lt;500,"Tier 0 (&lt;$500)",IF(E72&lt;10000,"Tier 1 ($500-$10K)",IF(E72&lt;50000,"Tier 2 ($10K-$50K)","Tier 3 (&gt;$50K)")))</f>
        <v>Tier 1 ($500-$10K)</v>
      </c>
      <c r="N72" s="13" t="str">
        <f aca="false">IF(F72="2/10 Net 30","Yes","No")</f>
        <v>Yes</v>
      </c>
      <c r="O72" s="13" t="str">
        <f aca="false">IF(AND(N72="Yes",(G72+H72+I72+J72)&lt;=10),"Yes","No")</f>
        <v>No</v>
      </c>
      <c r="P72" s="13" t="str">
        <f aca="false">IF(L72&gt;30,"Yes","No")</f>
        <v>No</v>
      </c>
      <c r="Q72" s="14" t="n">
        <f aca="false">IF(AND(N72="Yes",O72="No"),E72*0.02,0)</f>
        <v>89.1474</v>
      </c>
      <c r="R72" s="14" t="n">
        <f aca="false">IF(P72="Yes",E72*0.015,0)</f>
        <v>0</v>
      </c>
    </row>
    <row r="73" customFormat="false" ht="15" hidden="false" customHeight="false" outlineLevel="0" collapsed="false">
      <c r="A73" s="10" t="s">
        <v>135</v>
      </c>
      <c r="B73" s="10" t="s">
        <v>67</v>
      </c>
      <c r="C73" s="10" t="s">
        <v>36</v>
      </c>
      <c r="D73" s="10" t="s">
        <v>48</v>
      </c>
      <c r="E73" s="11" t="n">
        <v>7914.74</v>
      </c>
      <c r="F73" s="10" t="s">
        <v>38</v>
      </c>
      <c r="G73" s="10" t="n">
        <v>1.2</v>
      </c>
      <c r="H73" s="10" t="n">
        <v>5.9</v>
      </c>
      <c r="I73" s="10" t="n">
        <v>0.4</v>
      </c>
      <c r="J73" s="10" t="n">
        <v>1.6</v>
      </c>
      <c r="K73" s="10" t="n">
        <v>0.7</v>
      </c>
      <c r="L73" s="12" t="n">
        <f aca="false">SUM(G73:K73)</f>
        <v>9.8</v>
      </c>
      <c r="M73" s="13" t="str">
        <f aca="false">IF(E73&lt;500,"Tier 0 (&lt;$500)",IF(E73&lt;10000,"Tier 1 ($500-$10K)",IF(E73&lt;50000,"Tier 2 ($10K-$50K)","Tier 3 (&gt;$50K)")))</f>
        <v>Tier 1 ($500-$10K)</v>
      </c>
      <c r="N73" s="13" t="str">
        <f aca="false">IF(F73="2/10 Net 30","Yes","No")</f>
        <v>No</v>
      </c>
      <c r="O73" s="13" t="str">
        <f aca="false">IF(AND(N73="Yes",(G73+H73+I73+J73)&lt;=10),"Yes","No")</f>
        <v>No</v>
      </c>
      <c r="P73" s="13" t="str">
        <f aca="false">IF(L73&gt;30,"Yes","No")</f>
        <v>No</v>
      </c>
      <c r="Q73" s="14" t="n">
        <f aca="false">IF(AND(N73="Yes",O73="No"),E73*0.02,0)</f>
        <v>0</v>
      </c>
      <c r="R73" s="14" t="n">
        <f aca="false">IF(P73="Yes",E73*0.015,0)</f>
        <v>0</v>
      </c>
    </row>
    <row r="74" customFormat="false" ht="15" hidden="false" customHeight="false" outlineLevel="0" collapsed="false">
      <c r="A74" s="10" t="s">
        <v>136</v>
      </c>
      <c r="B74" s="10" t="s">
        <v>74</v>
      </c>
      <c r="C74" s="10" t="s">
        <v>36</v>
      </c>
      <c r="D74" s="10" t="s">
        <v>41</v>
      </c>
      <c r="E74" s="11" t="n">
        <v>47214.45</v>
      </c>
      <c r="F74" s="10" t="s">
        <v>55</v>
      </c>
      <c r="G74" s="10" t="n">
        <v>0.8</v>
      </c>
      <c r="H74" s="10" t="n">
        <v>4.8</v>
      </c>
      <c r="I74" s="10" t="n">
        <v>3.9</v>
      </c>
      <c r="J74" s="10" t="n">
        <v>4.9</v>
      </c>
      <c r="K74" s="10" t="n">
        <v>0.9</v>
      </c>
      <c r="L74" s="12" t="n">
        <f aca="false">SUM(G74:K74)</f>
        <v>15.3</v>
      </c>
      <c r="M74" s="13" t="str">
        <f aca="false">IF(E74&lt;500,"Tier 0 (&lt;$500)",IF(E74&lt;10000,"Tier 1 ($500-$10K)",IF(E74&lt;50000,"Tier 2 ($10K-$50K)","Tier 3 (&gt;$50K)")))</f>
        <v>Tier 2 ($10K-$50K)</v>
      </c>
      <c r="N74" s="13" t="str">
        <f aca="false">IF(F74="2/10 Net 30","Yes","No")</f>
        <v>Yes</v>
      </c>
      <c r="O74" s="13" t="str">
        <f aca="false">IF(AND(N74="Yes",(G74+H74+I74+J74)&lt;=10),"Yes","No")</f>
        <v>No</v>
      </c>
      <c r="P74" s="13" t="str">
        <f aca="false">IF(L74&gt;30,"Yes","No")</f>
        <v>No</v>
      </c>
      <c r="Q74" s="14" t="n">
        <f aca="false">IF(AND(N74="Yes",O74="No"),E74*0.02,0)</f>
        <v>944.289</v>
      </c>
      <c r="R74" s="14" t="n">
        <f aca="false">IF(P74="Yes",E74*0.015,0)</f>
        <v>0</v>
      </c>
    </row>
    <row r="75" customFormat="false" ht="15" hidden="false" customHeight="false" outlineLevel="0" collapsed="false">
      <c r="A75" s="10" t="s">
        <v>137</v>
      </c>
      <c r="B75" s="10" t="s">
        <v>43</v>
      </c>
      <c r="C75" s="10" t="s">
        <v>44</v>
      </c>
      <c r="D75" s="10" t="s">
        <v>45</v>
      </c>
      <c r="E75" s="11" t="n">
        <v>2288.87</v>
      </c>
      <c r="F75" s="10" t="s">
        <v>55</v>
      </c>
      <c r="G75" s="10" t="n">
        <v>1</v>
      </c>
      <c r="H75" s="10" t="n">
        <v>0.5</v>
      </c>
      <c r="I75" s="10" t="n">
        <v>5.3</v>
      </c>
      <c r="J75" s="10" t="n">
        <v>5.9</v>
      </c>
      <c r="K75" s="10" t="n">
        <v>0.7</v>
      </c>
      <c r="L75" s="12" t="n">
        <f aca="false">SUM(G75:K75)</f>
        <v>13.4</v>
      </c>
      <c r="M75" s="13" t="str">
        <f aca="false">IF(E75&lt;500,"Tier 0 (&lt;$500)",IF(E75&lt;10000,"Tier 1 ($500-$10K)",IF(E75&lt;50000,"Tier 2 ($10K-$50K)","Tier 3 (&gt;$50K)")))</f>
        <v>Tier 1 ($500-$10K)</v>
      </c>
      <c r="N75" s="13" t="str">
        <f aca="false">IF(F75="2/10 Net 30","Yes","No")</f>
        <v>Yes</v>
      </c>
      <c r="O75" s="13" t="str">
        <f aca="false">IF(AND(N75="Yes",(G75+H75+I75+J75)&lt;=10),"Yes","No")</f>
        <v>No</v>
      </c>
      <c r="P75" s="13" t="str">
        <f aca="false">IF(L75&gt;30,"Yes","No")</f>
        <v>No</v>
      </c>
      <c r="Q75" s="14" t="n">
        <f aca="false">IF(AND(N75="Yes",O75="No"),E75*0.02,0)</f>
        <v>45.7774</v>
      </c>
      <c r="R75" s="14" t="n">
        <f aca="false">IF(P75="Yes",E75*0.015,0)</f>
        <v>0</v>
      </c>
    </row>
    <row r="76" customFormat="false" ht="15" hidden="false" customHeight="false" outlineLevel="0" collapsed="false">
      <c r="A76" s="10" t="s">
        <v>138</v>
      </c>
      <c r="B76" s="10" t="s">
        <v>109</v>
      </c>
      <c r="C76" s="10" t="s">
        <v>44</v>
      </c>
      <c r="D76" s="10" t="s">
        <v>45</v>
      </c>
      <c r="E76" s="11" t="n">
        <v>437.56</v>
      </c>
      <c r="F76" s="10" t="s">
        <v>38</v>
      </c>
      <c r="G76" s="10" t="n">
        <v>1.8</v>
      </c>
      <c r="H76" s="10" t="n">
        <v>3.5</v>
      </c>
      <c r="I76" s="10" t="n">
        <v>0</v>
      </c>
      <c r="J76" s="10" t="n">
        <v>0</v>
      </c>
      <c r="K76" s="10" t="n">
        <v>0.7</v>
      </c>
      <c r="L76" s="12" t="n">
        <f aca="false">SUM(G76:K76)</f>
        <v>6</v>
      </c>
      <c r="M76" s="13" t="str">
        <f aca="false">IF(E76&lt;500,"Tier 0 (&lt;$500)",IF(E76&lt;10000,"Tier 1 ($500-$10K)",IF(E76&lt;50000,"Tier 2 ($10K-$50K)","Tier 3 (&gt;$50K)")))</f>
        <v>Tier 0 (&lt;$500)</v>
      </c>
      <c r="N76" s="13" t="str">
        <f aca="false">IF(F76="2/10 Net 30","Yes","No")</f>
        <v>No</v>
      </c>
      <c r="O76" s="13" t="str">
        <f aca="false">IF(AND(N76="Yes",(G76+H76+I76+J76)&lt;=10),"Yes","No")</f>
        <v>No</v>
      </c>
      <c r="P76" s="13" t="str">
        <f aca="false">IF(L76&gt;30,"Yes","No")</f>
        <v>No</v>
      </c>
      <c r="Q76" s="14" t="n">
        <f aca="false">IF(AND(N76="Yes",O76="No"),E76*0.02,0)</f>
        <v>0</v>
      </c>
      <c r="R76" s="14" t="n">
        <f aca="false">IF(P76="Yes",E76*0.015,0)</f>
        <v>0</v>
      </c>
    </row>
    <row r="77" customFormat="false" ht="15" hidden="false" customHeight="false" outlineLevel="0" collapsed="false">
      <c r="A77" s="10" t="s">
        <v>139</v>
      </c>
      <c r="B77" s="10" t="s">
        <v>50</v>
      </c>
      <c r="C77" s="10" t="s">
        <v>36</v>
      </c>
      <c r="D77" s="10" t="s">
        <v>54</v>
      </c>
      <c r="E77" s="11" t="n">
        <v>4816.89</v>
      </c>
      <c r="F77" s="10" t="s">
        <v>38</v>
      </c>
      <c r="G77" s="10" t="n">
        <v>1.8</v>
      </c>
      <c r="H77" s="10" t="n">
        <v>5.9</v>
      </c>
      <c r="I77" s="10" t="n">
        <v>2.4</v>
      </c>
      <c r="J77" s="10" t="n">
        <v>5.4</v>
      </c>
      <c r="K77" s="10" t="n">
        <v>1.2</v>
      </c>
      <c r="L77" s="12" t="n">
        <f aca="false">SUM(G77:K77)</f>
        <v>16.7</v>
      </c>
      <c r="M77" s="13" t="str">
        <f aca="false">IF(E77&lt;500,"Tier 0 (&lt;$500)",IF(E77&lt;10000,"Tier 1 ($500-$10K)",IF(E77&lt;50000,"Tier 2 ($10K-$50K)","Tier 3 (&gt;$50K)")))</f>
        <v>Tier 1 ($500-$10K)</v>
      </c>
      <c r="N77" s="13" t="str">
        <f aca="false">IF(F77="2/10 Net 30","Yes","No")</f>
        <v>No</v>
      </c>
      <c r="O77" s="13" t="str">
        <f aca="false">IF(AND(N77="Yes",(G77+H77+I77+J77)&lt;=10),"Yes","No")</f>
        <v>No</v>
      </c>
      <c r="P77" s="13" t="str">
        <f aca="false">IF(L77&gt;30,"Yes","No")</f>
        <v>No</v>
      </c>
      <c r="Q77" s="14" t="n">
        <f aca="false">IF(AND(N77="Yes",O77="No"),E77*0.02,0)</f>
        <v>0</v>
      </c>
      <c r="R77" s="14" t="n">
        <f aca="false">IF(P77="Yes",E77*0.015,0)</f>
        <v>0</v>
      </c>
    </row>
    <row r="78" customFormat="false" ht="15" hidden="false" customHeight="false" outlineLevel="0" collapsed="false">
      <c r="A78" s="10" t="s">
        <v>140</v>
      </c>
      <c r="B78" s="10" t="s">
        <v>87</v>
      </c>
      <c r="C78" s="10" t="s">
        <v>36</v>
      </c>
      <c r="D78" s="10" t="s">
        <v>41</v>
      </c>
      <c r="E78" s="11" t="n">
        <v>4432.83</v>
      </c>
      <c r="F78" s="10" t="s">
        <v>55</v>
      </c>
      <c r="G78" s="10" t="n">
        <v>1.4</v>
      </c>
      <c r="H78" s="10" t="n">
        <v>4.6</v>
      </c>
      <c r="I78" s="10" t="n">
        <v>1.1</v>
      </c>
      <c r="J78" s="10" t="n">
        <v>4.1</v>
      </c>
      <c r="K78" s="10" t="n">
        <v>0.8</v>
      </c>
      <c r="L78" s="12" t="n">
        <f aca="false">SUM(G78:K78)</f>
        <v>12</v>
      </c>
      <c r="M78" s="13" t="str">
        <f aca="false">IF(E78&lt;500,"Tier 0 (&lt;$500)",IF(E78&lt;10000,"Tier 1 ($500-$10K)",IF(E78&lt;50000,"Tier 2 ($10K-$50K)","Tier 3 (&gt;$50K)")))</f>
        <v>Tier 1 ($500-$10K)</v>
      </c>
      <c r="N78" s="13" t="str">
        <f aca="false">IF(F78="2/10 Net 30","Yes","No")</f>
        <v>Yes</v>
      </c>
      <c r="O78" s="13" t="str">
        <f aca="false">IF(AND(N78="Yes",(G78+H78+I78+J78)&lt;=10),"Yes","No")</f>
        <v>No</v>
      </c>
      <c r="P78" s="13" t="str">
        <f aca="false">IF(L78&gt;30,"Yes","No")</f>
        <v>No</v>
      </c>
      <c r="Q78" s="14" t="n">
        <f aca="false">IF(AND(N78="Yes",O78="No"),E78*0.02,0)</f>
        <v>88.6566</v>
      </c>
      <c r="R78" s="14" t="n">
        <f aca="false">IF(P78="Yes",E78*0.015,0)</f>
        <v>0</v>
      </c>
    </row>
    <row r="79" customFormat="false" ht="15" hidden="false" customHeight="false" outlineLevel="0" collapsed="false">
      <c r="A79" s="10" t="s">
        <v>141</v>
      </c>
      <c r="B79" s="10" t="s">
        <v>47</v>
      </c>
      <c r="C79" s="10" t="s">
        <v>36</v>
      </c>
      <c r="D79" s="10" t="s">
        <v>62</v>
      </c>
      <c r="E79" s="11" t="n">
        <v>7515.78</v>
      </c>
      <c r="F79" s="10" t="s">
        <v>55</v>
      </c>
      <c r="G79" s="10" t="n">
        <v>1.3</v>
      </c>
      <c r="H79" s="10" t="n">
        <v>6.3</v>
      </c>
      <c r="I79" s="10" t="n">
        <v>3.8</v>
      </c>
      <c r="J79" s="10" t="n">
        <v>4.3</v>
      </c>
      <c r="K79" s="10" t="n">
        <v>0.7</v>
      </c>
      <c r="L79" s="12" t="n">
        <f aca="false">SUM(G79:K79)</f>
        <v>16.4</v>
      </c>
      <c r="M79" s="13" t="str">
        <f aca="false">IF(E79&lt;500,"Tier 0 (&lt;$500)",IF(E79&lt;10000,"Tier 1 ($500-$10K)",IF(E79&lt;50000,"Tier 2 ($10K-$50K)","Tier 3 (&gt;$50K)")))</f>
        <v>Tier 1 ($500-$10K)</v>
      </c>
      <c r="N79" s="13" t="str">
        <f aca="false">IF(F79="2/10 Net 30","Yes","No")</f>
        <v>Yes</v>
      </c>
      <c r="O79" s="13" t="str">
        <f aca="false">IF(AND(N79="Yes",(G79+H79+I79+J79)&lt;=10),"Yes","No")</f>
        <v>No</v>
      </c>
      <c r="P79" s="13" t="str">
        <f aca="false">IF(L79&gt;30,"Yes","No")</f>
        <v>No</v>
      </c>
      <c r="Q79" s="14" t="n">
        <f aca="false">IF(AND(N79="Yes",O79="No"),E79*0.02,0)</f>
        <v>150.3156</v>
      </c>
      <c r="R79" s="14" t="n">
        <f aca="false">IF(P79="Yes",E79*0.015,0)</f>
        <v>0</v>
      </c>
    </row>
    <row r="80" customFormat="false" ht="15" hidden="false" customHeight="false" outlineLevel="0" collapsed="false">
      <c r="A80" s="10" t="s">
        <v>142</v>
      </c>
      <c r="B80" s="10" t="s">
        <v>40</v>
      </c>
      <c r="C80" s="10" t="s">
        <v>36</v>
      </c>
      <c r="D80" s="10" t="s">
        <v>37</v>
      </c>
      <c r="E80" s="11" t="n">
        <v>9920.87</v>
      </c>
      <c r="F80" s="10" t="s">
        <v>55</v>
      </c>
      <c r="G80" s="10" t="n">
        <v>1.2</v>
      </c>
      <c r="H80" s="10" t="n">
        <v>7</v>
      </c>
      <c r="I80" s="10" t="n">
        <v>5.1</v>
      </c>
      <c r="J80" s="10" t="n">
        <v>4</v>
      </c>
      <c r="K80" s="10" t="n">
        <v>1.1</v>
      </c>
      <c r="L80" s="12" t="n">
        <f aca="false">SUM(G80:K80)</f>
        <v>18.4</v>
      </c>
      <c r="M80" s="13" t="str">
        <f aca="false">IF(E80&lt;500,"Tier 0 (&lt;$500)",IF(E80&lt;10000,"Tier 1 ($500-$10K)",IF(E80&lt;50000,"Tier 2 ($10K-$50K)","Tier 3 (&gt;$50K)")))</f>
        <v>Tier 1 ($500-$10K)</v>
      </c>
      <c r="N80" s="13" t="str">
        <f aca="false">IF(F80="2/10 Net 30","Yes","No")</f>
        <v>Yes</v>
      </c>
      <c r="O80" s="13" t="str">
        <f aca="false">IF(AND(N80="Yes",(G80+H80+I80+J80)&lt;=10),"Yes","No")</f>
        <v>No</v>
      </c>
      <c r="P80" s="13" t="str">
        <f aca="false">IF(L80&gt;30,"Yes","No")</f>
        <v>No</v>
      </c>
      <c r="Q80" s="14" t="n">
        <f aca="false">IF(AND(N80="Yes",O80="No"),E80*0.02,0)</f>
        <v>198.4174</v>
      </c>
      <c r="R80" s="14" t="n">
        <f aca="false">IF(P80="Yes",E80*0.015,0)</f>
        <v>0</v>
      </c>
    </row>
    <row r="81" customFormat="false" ht="15" hidden="false" customHeight="false" outlineLevel="0" collapsed="false">
      <c r="A81" s="10" t="s">
        <v>143</v>
      </c>
      <c r="B81" s="10" t="s">
        <v>109</v>
      </c>
      <c r="C81" s="10" t="s">
        <v>44</v>
      </c>
      <c r="D81" s="10" t="s">
        <v>37</v>
      </c>
      <c r="E81" s="11" t="n">
        <v>34871.06</v>
      </c>
      <c r="F81" s="10" t="s">
        <v>55</v>
      </c>
      <c r="G81" s="10" t="n">
        <v>1.3</v>
      </c>
      <c r="H81" s="10" t="n">
        <v>2.1</v>
      </c>
      <c r="I81" s="10" t="n">
        <v>4.6</v>
      </c>
      <c r="J81" s="10" t="n">
        <v>4.6</v>
      </c>
      <c r="K81" s="10" t="n">
        <v>0.5</v>
      </c>
      <c r="L81" s="12" t="n">
        <f aca="false">SUM(G81:K81)</f>
        <v>13.1</v>
      </c>
      <c r="M81" s="13" t="str">
        <f aca="false">IF(E81&lt;500,"Tier 0 (&lt;$500)",IF(E81&lt;10000,"Tier 1 ($500-$10K)",IF(E81&lt;50000,"Tier 2 ($10K-$50K)","Tier 3 (&gt;$50K)")))</f>
        <v>Tier 2 ($10K-$50K)</v>
      </c>
      <c r="N81" s="13" t="str">
        <f aca="false">IF(F81="2/10 Net 30","Yes","No")</f>
        <v>Yes</v>
      </c>
      <c r="O81" s="13" t="str">
        <f aca="false">IF(AND(N81="Yes",(G81+H81+I81+J81)&lt;=10),"Yes","No")</f>
        <v>No</v>
      </c>
      <c r="P81" s="13" t="str">
        <f aca="false">IF(L81&gt;30,"Yes","No")</f>
        <v>No</v>
      </c>
      <c r="Q81" s="14" t="n">
        <f aca="false">IF(AND(N81="Yes",O81="No"),E81*0.02,0)</f>
        <v>697.4212</v>
      </c>
      <c r="R81" s="14" t="n">
        <f aca="false">IF(P81="Yes",E81*0.015,0)</f>
        <v>0</v>
      </c>
    </row>
    <row r="82" customFormat="false" ht="15" hidden="false" customHeight="false" outlineLevel="0" collapsed="false">
      <c r="A82" s="10" t="s">
        <v>144</v>
      </c>
      <c r="B82" s="10" t="s">
        <v>61</v>
      </c>
      <c r="C82" s="10" t="s">
        <v>36</v>
      </c>
      <c r="D82" s="10" t="s">
        <v>37</v>
      </c>
      <c r="E82" s="11" t="n">
        <v>2696.93</v>
      </c>
      <c r="F82" s="10" t="s">
        <v>38</v>
      </c>
      <c r="G82" s="10" t="n">
        <v>1.2</v>
      </c>
      <c r="H82" s="10" t="n">
        <v>2.7</v>
      </c>
      <c r="I82" s="10" t="n">
        <v>2.2</v>
      </c>
      <c r="J82" s="10" t="n">
        <v>4.6</v>
      </c>
      <c r="K82" s="10" t="n">
        <v>1.1</v>
      </c>
      <c r="L82" s="12" t="n">
        <f aca="false">SUM(G82:K82)</f>
        <v>11.8</v>
      </c>
      <c r="M82" s="13" t="str">
        <f aca="false">IF(E82&lt;500,"Tier 0 (&lt;$500)",IF(E82&lt;10000,"Tier 1 ($500-$10K)",IF(E82&lt;50000,"Tier 2 ($10K-$50K)","Tier 3 (&gt;$50K)")))</f>
        <v>Tier 1 ($500-$10K)</v>
      </c>
      <c r="N82" s="13" t="str">
        <f aca="false">IF(F82="2/10 Net 30","Yes","No")</f>
        <v>No</v>
      </c>
      <c r="O82" s="13" t="str">
        <f aca="false">IF(AND(N82="Yes",(G82+H82+I82+J82)&lt;=10),"Yes","No")</f>
        <v>No</v>
      </c>
      <c r="P82" s="13" t="str">
        <f aca="false">IF(L82&gt;30,"Yes","No")</f>
        <v>No</v>
      </c>
      <c r="Q82" s="14" t="n">
        <f aca="false">IF(AND(N82="Yes",O82="No"),E82*0.02,0)</f>
        <v>0</v>
      </c>
      <c r="R82" s="14" t="n">
        <f aca="false">IF(P82="Yes",E82*0.015,0)</f>
        <v>0</v>
      </c>
    </row>
    <row r="83" customFormat="false" ht="15" hidden="false" customHeight="false" outlineLevel="0" collapsed="false">
      <c r="A83" s="10" t="s">
        <v>145</v>
      </c>
      <c r="B83" s="10" t="s">
        <v>40</v>
      </c>
      <c r="C83" s="10" t="s">
        <v>36</v>
      </c>
      <c r="D83" s="10" t="s">
        <v>37</v>
      </c>
      <c r="E83" s="11" t="n">
        <v>7704.25</v>
      </c>
      <c r="F83" s="10" t="s">
        <v>38</v>
      </c>
      <c r="G83" s="10" t="n">
        <v>1.1</v>
      </c>
      <c r="H83" s="10" t="n">
        <v>4.4</v>
      </c>
      <c r="I83" s="10" t="n">
        <v>3.5</v>
      </c>
      <c r="J83" s="10" t="n">
        <v>3.1</v>
      </c>
      <c r="K83" s="10" t="n">
        <v>1.1</v>
      </c>
      <c r="L83" s="12" t="n">
        <f aca="false">SUM(G83:K83)</f>
        <v>13.2</v>
      </c>
      <c r="M83" s="13" t="str">
        <f aca="false">IF(E83&lt;500,"Tier 0 (&lt;$500)",IF(E83&lt;10000,"Tier 1 ($500-$10K)",IF(E83&lt;50000,"Tier 2 ($10K-$50K)","Tier 3 (&gt;$50K)")))</f>
        <v>Tier 1 ($500-$10K)</v>
      </c>
      <c r="N83" s="13" t="str">
        <f aca="false">IF(F83="2/10 Net 30","Yes","No")</f>
        <v>No</v>
      </c>
      <c r="O83" s="13" t="str">
        <f aca="false">IF(AND(N83="Yes",(G83+H83+I83+J83)&lt;=10),"Yes","No")</f>
        <v>No</v>
      </c>
      <c r="P83" s="13" t="str">
        <f aca="false">IF(L83&gt;30,"Yes","No")</f>
        <v>No</v>
      </c>
      <c r="Q83" s="14" t="n">
        <f aca="false">IF(AND(N83="Yes",O83="No"),E83*0.02,0)</f>
        <v>0</v>
      </c>
      <c r="R83" s="14" t="n">
        <f aca="false">IF(P83="Yes",E83*0.015,0)</f>
        <v>0</v>
      </c>
    </row>
    <row r="84" customFormat="false" ht="15" hidden="false" customHeight="false" outlineLevel="0" collapsed="false">
      <c r="A84" s="10" t="s">
        <v>146</v>
      </c>
      <c r="B84" s="10" t="s">
        <v>53</v>
      </c>
      <c r="C84" s="10" t="s">
        <v>36</v>
      </c>
      <c r="D84" s="10" t="s">
        <v>45</v>
      </c>
      <c r="E84" s="11" t="n">
        <v>45585.37</v>
      </c>
      <c r="F84" s="10" t="s">
        <v>55</v>
      </c>
      <c r="G84" s="10" t="n">
        <v>1.3</v>
      </c>
      <c r="H84" s="10" t="n">
        <v>4.5</v>
      </c>
      <c r="I84" s="10" t="n">
        <v>2.1</v>
      </c>
      <c r="J84" s="10" t="n">
        <v>3.2</v>
      </c>
      <c r="K84" s="10" t="n">
        <v>1.4</v>
      </c>
      <c r="L84" s="12" t="n">
        <f aca="false">SUM(G84:K84)</f>
        <v>12.5</v>
      </c>
      <c r="M84" s="13" t="str">
        <f aca="false">IF(E84&lt;500,"Tier 0 (&lt;$500)",IF(E84&lt;10000,"Tier 1 ($500-$10K)",IF(E84&lt;50000,"Tier 2 ($10K-$50K)","Tier 3 (&gt;$50K)")))</f>
        <v>Tier 2 ($10K-$50K)</v>
      </c>
      <c r="N84" s="13" t="str">
        <f aca="false">IF(F84="2/10 Net 30","Yes","No")</f>
        <v>Yes</v>
      </c>
      <c r="O84" s="13" t="str">
        <f aca="false">IF(AND(N84="Yes",(G84+H84+I84+J84)&lt;=10),"Yes","No")</f>
        <v>No</v>
      </c>
      <c r="P84" s="13" t="str">
        <f aca="false">IF(L84&gt;30,"Yes","No")</f>
        <v>No</v>
      </c>
      <c r="Q84" s="14" t="n">
        <f aca="false">IF(AND(N84="Yes",O84="No"),E84*0.02,0)</f>
        <v>911.7074</v>
      </c>
      <c r="R84" s="14" t="n">
        <f aca="false">IF(P84="Yes",E84*0.015,0)</f>
        <v>0</v>
      </c>
    </row>
    <row r="85" customFormat="false" ht="15" hidden="false" customHeight="false" outlineLevel="0" collapsed="false">
      <c r="A85" s="10" t="s">
        <v>147</v>
      </c>
      <c r="B85" s="10" t="s">
        <v>58</v>
      </c>
      <c r="C85" s="10" t="s">
        <v>44</v>
      </c>
      <c r="D85" s="10" t="s">
        <v>54</v>
      </c>
      <c r="E85" s="11" t="n">
        <v>168.89</v>
      </c>
      <c r="F85" s="10" t="s">
        <v>38</v>
      </c>
      <c r="G85" s="10" t="n">
        <v>0.9</v>
      </c>
      <c r="H85" s="10" t="n">
        <v>4.1</v>
      </c>
      <c r="I85" s="10" t="n">
        <v>0</v>
      </c>
      <c r="J85" s="10" t="n">
        <v>0</v>
      </c>
      <c r="K85" s="10" t="n">
        <v>1</v>
      </c>
      <c r="L85" s="12" t="n">
        <f aca="false">SUM(G85:K85)</f>
        <v>6</v>
      </c>
      <c r="M85" s="13" t="str">
        <f aca="false">IF(E85&lt;500,"Tier 0 (&lt;$500)",IF(E85&lt;10000,"Tier 1 ($500-$10K)",IF(E85&lt;50000,"Tier 2 ($10K-$50K)","Tier 3 (&gt;$50K)")))</f>
        <v>Tier 0 (&lt;$500)</v>
      </c>
      <c r="N85" s="13" t="str">
        <f aca="false">IF(F85="2/10 Net 30","Yes","No")</f>
        <v>No</v>
      </c>
      <c r="O85" s="13" t="str">
        <f aca="false">IF(AND(N85="Yes",(G85+H85+I85+J85)&lt;=10),"Yes","No")</f>
        <v>No</v>
      </c>
      <c r="P85" s="13" t="str">
        <f aca="false">IF(L85&gt;30,"Yes","No")</f>
        <v>No</v>
      </c>
      <c r="Q85" s="14" t="n">
        <f aca="false">IF(AND(N85="Yes",O85="No"),E85*0.02,0)</f>
        <v>0</v>
      </c>
      <c r="R85" s="14" t="n">
        <f aca="false">IF(P85="Yes",E85*0.015,0)</f>
        <v>0</v>
      </c>
    </row>
    <row r="86" customFormat="false" ht="15" hidden="false" customHeight="false" outlineLevel="0" collapsed="false">
      <c r="A86" s="10" t="s">
        <v>148</v>
      </c>
      <c r="B86" s="10" t="s">
        <v>35</v>
      </c>
      <c r="C86" s="10" t="s">
        <v>36</v>
      </c>
      <c r="D86" s="10" t="s">
        <v>62</v>
      </c>
      <c r="E86" s="11" t="n">
        <v>386.35</v>
      </c>
      <c r="F86" s="10" t="s">
        <v>38</v>
      </c>
      <c r="G86" s="10" t="n">
        <v>1.7</v>
      </c>
      <c r="H86" s="10" t="n">
        <v>2.3</v>
      </c>
      <c r="I86" s="10" t="n">
        <v>0</v>
      </c>
      <c r="J86" s="10" t="n">
        <v>0</v>
      </c>
      <c r="K86" s="10" t="n">
        <v>0.9</v>
      </c>
      <c r="L86" s="12" t="n">
        <f aca="false">SUM(G86:K86)</f>
        <v>4.9</v>
      </c>
      <c r="M86" s="13" t="str">
        <f aca="false">IF(E86&lt;500,"Tier 0 (&lt;$500)",IF(E86&lt;10000,"Tier 1 ($500-$10K)",IF(E86&lt;50000,"Tier 2 ($10K-$50K)","Tier 3 (&gt;$50K)")))</f>
        <v>Tier 0 (&lt;$500)</v>
      </c>
      <c r="N86" s="13" t="str">
        <f aca="false">IF(F86="2/10 Net 30","Yes","No")</f>
        <v>No</v>
      </c>
      <c r="O86" s="13" t="str">
        <f aca="false">IF(AND(N86="Yes",(G86+H86+I86+J86)&lt;=10),"Yes","No")</f>
        <v>No</v>
      </c>
      <c r="P86" s="13" t="str">
        <f aca="false">IF(L86&gt;30,"Yes","No")</f>
        <v>No</v>
      </c>
      <c r="Q86" s="14" t="n">
        <f aca="false">IF(AND(N86="Yes",O86="No"),E86*0.02,0)</f>
        <v>0</v>
      </c>
      <c r="R86" s="14" t="n">
        <f aca="false">IF(P86="Yes",E86*0.015,0)</f>
        <v>0</v>
      </c>
    </row>
    <row r="87" customFormat="false" ht="15" hidden="false" customHeight="false" outlineLevel="0" collapsed="false">
      <c r="A87" s="10" t="s">
        <v>149</v>
      </c>
      <c r="B87" s="10" t="s">
        <v>107</v>
      </c>
      <c r="C87" s="10" t="s">
        <v>44</v>
      </c>
      <c r="D87" s="10" t="s">
        <v>62</v>
      </c>
      <c r="E87" s="11" t="n">
        <v>121.84</v>
      </c>
      <c r="F87" s="10" t="s">
        <v>55</v>
      </c>
      <c r="G87" s="10" t="n">
        <v>2.2</v>
      </c>
      <c r="H87" s="10" t="n">
        <v>3.6</v>
      </c>
      <c r="I87" s="10" t="n">
        <v>0</v>
      </c>
      <c r="J87" s="10" t="n">
        <v>0</v>
      </c>
      <c r="K87" s="10" t="n">
        <v>1.6</v>
      </c>
      <c r="L87" s="12" t="n">
        <f aca="false">SUM(G87:K87)</f>
        <v>7.4</v>
      </c>
      <c r="M87" s="13" t="str">
        <f aca="false">IF(E87&lt;500,"Tier 0 (&lt;$500)",IF(E87&lt;10000,"Tier 1 ($500-$10K)",IF(E87&lt;50000,"Tier 2 ($10K-$50K)","Tier 3 (&gt;$50K)")))</f>
        <v>Tier 0 (&lt;$500)</v>
      </c>
      <c r="N87" s="13" t="str">
        <f aca="false">IF(F87="2/10 Net 30","Yes","No")</f>
        <v>Yes</v>
      </c>
      <c r="O87" s="13" t="str">
        <f aca="false">IF(AND(N87="Yes",(G87+H87+I87+J87)&lt;=10),"Yes","No")</f>
        <v>Yes</v>
      </c>
      <c r="P87" s="13" t="str">
        <f aca="false">IF(L87&gt;30,"Yes","No")</f>
        <v>No</v>
      </c>
      <c r="Q87" s="14" t="n">
        <f aca="false">IF(AND(N87="Yes",O87="No"),E87*0.02,0)</f>
        <v>0</v>
      </c>
      <c r="R87" s="14" t="n">
        <f aca="false">IF(P87="Yes",E87*0.015,0)</f>
        <v>0</v>
      </c>
    </row>
    <row r="88" customFormat="false" ht="15" hidden="false" customHeight="false" outlineLevel="0" collapsed="false">
      <c r="A88" s="10" t="s">
        <v>150</v>
      </c>
      <c r="B88" s="10" t="s">
        <v>40</v>
      </c>
      <c r="C88" s="10" t="s">
        <v>36</v>
      </c>
      <c r="D88" s="10" t="s">
        <v>62</v>
      </c>
      <c r="E88" s="11" t="n">
        <v>8931.04</v>
      </c>
      <c r="F88" s="10" t="s">
        <v>55</v>
      </c>
      <c r="G88" s="10" t="n">
        <v>1.3</v>
      </c>
      <c r="H88" s="10" t="n">
        <v>9.2</v>
      </c>
      <c r="I88" s="10" t="n">
        <v>5.1</v>
      </c>
      <c r="J88" s="10" t="n">
        <v>2.9</v>
      </c>
      <c r="K88" s="10" t="n">
        <v>1.3</v>
      </c>
      <c r="L88" s="12" t="n">
        <f aca="false">SUM(G88:K88)</f>
        <v>19.8</v>
      </c>
      <c r="M88" s="13" t="str">
        <f aca="false">IF(E88&lt;500,"Tier 0 (&lt;$500)",IF(E88&lt;10000,"Tier 1 ($500-$10K)",IF(E88&lt;50000,"Tier 2 ($10K-$50K)","Tier 3 (&gt;$50K)")))</f>
        <v>Tier 1 ($500-$10K)</v>
      </c>
      <c r="N88" s="13" t="str">
        <f aca="false">IF(F88="2/10 Net 30","Yes","No")</f>
        <v>Yes</v>
      </c>
      <c r="O88" s="13" t="str">
        <f aca="false">IF(AND(N88="Yes",(G88+H88+I88+J88)&lt;=10),"Yes","No")</f>
        <v>No</v>
      </c>
      <c r="P88" s="13" t="str">
        <f aca="false">IF(L88&gt;30,"Yes","No")</f>
        <v>No</v>
      </c>
      <c r="Q88" s="14" t="n">
        <f aca="false">IF(AND(N88="Yes",O88="No"),E88*0.02,0)</f>
        <v>178.6208</v>
      </c>
      <c r="R88" s="14" t="n">
        <f aca="false">IF(P88="Yes",E88*0.015,0)</f>
        <v>0</v>
      </c>
    </row>
    <row r="89" customFormat="false" ht="15" hidden="false" customHeight="false" outlineLevel="0" collapsed="false">
      <c r="A89" s="10" t="s">
        <v>151</v>
      </c>
      <c r="B89" s="10" t="s">
        <v>89</v>
      </c>
      <c r="C89" s="10" t="s">
        <v>44</v>
      </c>
      <c r="D89" s="10" t="s">
        <v>48</v>
      </c>
      <c r="E89" s="11" t="n">
        <v>2368.85</v>
      </c>
      <c r="F89" s="10" t="s">
        <v>55</v>
      </c>
      <c r="G89" s="10" t="n">
        <v>1.7</v>
      </c>
      <c r="H89" s="10" t="n">
        <v>4.1</v>
      </c>
      <c r="I89" s="10" t="n">
        <v>4.3</v>
      </c>
      <c r="J89" s="10" t="n">
        <v>4.7</v>
      </c>
      <c r="K89" s="10" t="n">
        <v>0.4</v>
      </c>
      <c r="L89" s="12" t="n">
        <f aca="false">SUM(G89:K89)</f>
        <v>15.2</v>
      </c>
      <c r="M89" s="13" t="str">
        <f aca="false">IF(E89&lt;500,"Tier 0 (&lt;$500)",IF(E89&lt;10000,"Tier 1 ($500-$10K)",IF(E89&lt;50000,"Tier 2 ($10K-$50K)","Tier 3 (&gt;$50K)")))</f>
        <v>Tier 1 ($500-$10K)</v>
      </c>
      <c r="N89" s="13" t="str">
        <f aca="false">IF(F89="2/10 Net 30","Yes","No")</f>
        <v>Yes</v>
      </c>
      <c r="O89" s="13" t="str">
        <f aca="false">IF(AND(N89="Yes",(G89+H89+I89+J89)&lt;=10),"Yes","No")</f>
        <v>No</v>
      </c>
      <c r="P89" s="13" t="str">
        <f aca="false">IF(L89&gt;30,"Yes","No")</f>
        <v>No</v>
      </c>
      <c r="Q89" s="14" t="n">
        <f aca="false">IF(AND(N89="Yes",O89="No"),E89*0.02,0)</f>
        <v>47.377</v>
      </c>
      <c r="R89" s="14" t="n">
        <f aca="false">IF(P89="Yes",E89*0.015,0)</f>
        <v>0</v>
      </c>
    </row>
    <row r="90" customFormat="false" ht="15" hidden="false" customHeight="false" outlineLevel="0" collapsed="false">
      <c r="A90" s="10" t="s">
        <v>152</v>
      </c>
      <c r="B90" s="10" t="s">
        <v>98</v>
      </c>
      <c r="C90" s="10" t="s">
        <v>44</v>
      </c>
      <c r="D90" s="10" t="s">
        <v>41</v>
      </c>
      <c r="E90" s="11" t="n">
        <v>121.45</v>
      </c>
      <c r="F90" s="10" t="s">
        <v>38</v>
      </c>
      <c r="G90" s="10" t="n">
        <v>1.6</v>
      </c>
      <c r="H90" s="10" t="n">
        <v>3</v>
      </c>
      <c r="I90" s="10" t="n">
        <v>0</v>
      </c>
      <c r="J90" s="10" t="n">
        <v>0</v>
      </c>
      <c r="K90" s="10" t="n">
        <v>1.2</v>
      </c>
      <c r="L90" s="12" t="n">
        <f aca="false">SUM(G90:K90)</f>
        <v>5.8</v>
      </c>
      <c r="M90" s="13" t="str">
        <f aca="false">IF(E90&lt;500,"Tier 0 (&lt;$500)",IF(E90&lt;10000,"Tier 1 ($500-$10K)",IF(E90&lt;50000,"Tier 2 ($10K-$50K)","Tier 3 (&gt;$50K)")))</f>
        <v>Tier 0 (&lt;$500)</v>
      </c>
      <c r="N90" s="13" t="str">
        <f aca="false">IF(F90="2/10 Net 30","Yes","No")</f>
        <v>No</v>
      </c>
      <c r="O90" s="13" t="str">
        <f aca="false">IF(AND(N90="Yes",(G90+H90+I90+J90)&lt;=10),"Yes","No")</f>
        <v>No</v>
      </c>
      <c r="P90" s="13" t="str">
        <f aca="false">IF(L90&gt;30,"Yes","No")</f>
        <v>No</v>
      </c>
      <c r="Q90" s="14" t="n">
        <f aca="false">IF(AND(N90="Yes",O90="No"),E90*0.02,0)</f>
        <v>0</v>
      </c>
      <c r="R90" s="14" t="n">
        <f aca="false">IF(P90="Yes",E90*0.015,0)</f>
        <v>0</v>
      </c>
    </row>
    <row r="91" customFormat="false" ht="15" hidden="false" customHeight="false" outlineLevel="0" collapsed="false">
      <c r="A91" s="10" t="s">
        <v>153</v>
      </c>
      <c r="B91" s="10" t="s">
        <v>91</v>
      </c>
      <c r="C91" s="10" t="s">
        <v>36</v>
      </c>
      <c r="D91" s="10" t="s">
        <v>37</v>
      </c>
      <c r="E91" s="11" t="n">
        <v>4949.49</v>
      </c>
      <c r="F91" s="10" t="s">
        <v>55</v>
      </c>
      <c r="G91" s="10" t="n">
        <v>1.3</v>
      </c>
      <c r="H91" s="10" t="n">
        <v>2.5</v>
      </c>
      <c r="I91" s="10" t="n">
        <v>4.9</v>
      </c>
      <c r="J91" s="10" t="n">
        <v>4.1</v>
      </c>
      <c r="K91" s="10" t="n">
        <v>0.4</v>
      </c>
      <c r="L91" s="12" t="n">
        <f aca="false">SUM(G91:K91)</f>
        <v>13.2</v>
      </c>
      <c r="M91" s="13" t="str">
        <f aca="false">IF(E91&lt;500,"Tier 0 (&lt;$500)",IF(E91&lt;10000,"Tier 1 ($500-$10K)",IF(E91&lt;50000,"Tier 2 ($10K-$50K)","Tier 3 (&gt;$50K)")))</f>
        <v>Tier 1 ($500-$10K)</v>
      </c>
      <c r="N91" s="13" t="str">
        <f aca="false">IF(F91="2/10 Net 30","Yes","No")</f>
        <v>Yes</v>
      </c>
      <c r="O91" s="13" t="str">
        <f aca="false">IF(AND(N91="Yes",(G91+H91+I91+J91)&lt;=10),"Yes","No")</f>
        <v>No</v>
      </c>
      <c r="P91" s="13" t="str">
        <f aca="false">IF(L91&gt;30,"Yes","No")</f>
        <v>No</v>
      </c>
      <c r="Q91" s="14" t="n">
        <f aca="false">IF(AND(N91="Yes",O91="No"),E91*0.02,0)</f>
        <v>98.9898</v>
      </c>
      <c r="R91" s="14" t="n">
        <f aca="false">IF(P91="Yes",E91*0.015,0)</f>
        <v>0</v>
      </c>
    </row>
    <row r="92" customFormat="false" ht="15" hidden="false" customHeight="false" outlineLevel="0" collapsed="false">
      <c r="A92" s="10" t="s">
        <v>154</v>
      </c>
      <c r="B92" s="10" t="s">
        <v>50</v>
      </c>
      <c r="C92" s="10" t="s">
        <v>36</v>
      </c>
      <c r="D92" s="10" t="s">
        <v>41</v>
      </c>
      <c r="E92" s="11" t="n">
        <v>203.51</v>
      </c>
      <c r="F92" s="10" t="s">
        <v>38</v>
      </c>
      <c r="G92" s="10" t="n">
        <v>1.2</v>
      </c>
      <c r="H92" s="10" t="n">
        <v>4.5</v>
      </c>
      <c r="I92" s="10" t="n">
        <v>0</v>
      </c>
      <c r="J92" s="10" t="n">
        <v>0</v>
      </c>
      <c r="K92" s="10" t="n">
        <v>1.3</v>
      </c>
      <c r="L92" s="12" t="n">
        <f aca="false">SUM(G92:K92)</f>
        <v>7</v>
      </c>
      <c r="M92" s="13" t="str">
        <f aca="false">IF(E92&lt;500,"Tier 0 (&lt;$500)",IF(E92&lt;10000,"Tier 1 ($500-$10K)",IF(E92&lt;50000,"Tier 2 ($10K-$50K)","Tier 3 (&gt;$50K)")))</f>
        <v>Tier 0 (&lt;$500)</v>
      </c>
      <c r="N92" s="13" t="str">
        <f aca="false">IF(F92="2/10 Net 30","Yes","No")</f>
        <v>No</v>
      </c>
      <c r="O92" s="13" t="str">
        <f aca="false">IF(AND(N92="Yes",(G92+H92+I92+J92)&lt;=10),"Yes","No")</f>
        <v>No</v>
      </c>
      <c r="P92" s="13" t="str">
        <f aca="false">IF(L92&gt;30,"Yes","No")</f>
        <v>No</v>
      </c>
      <c r="Q92" s="14" t="n">
        <f aca="false">IF(AND(N92="Yes",O92="No"),E92*0.02,0)</f>
        <v>0</v>
      </c>
      <c r="R92" s="14" t="n">
        <f aca="false">IF(P92="Yes",E92*0.015,0)</f>
        <v>0</v>
      </c>
    </row>
    <row r="93" customFormat="false" ht="15" hidden="false" customHeight="false" outlineLevel="0" collapsed="false">
      <c r="A93" s="10" t="s">
        <v>155</v>
      </c>
      <c r="B93" s="10" t="s">
        <v>71</v>
      </c>
      <c r="C93" s="10" t="s">
        <v>44</v>
      </c>
      <c r="D93" s="10" t="s">
        <v>54</v>
      </c>
      <c r="E93" s="11" t="n">
        <v>1182.24</v>
      </c>
      <c r="F93" s="10" t="s">
        <v>55</v>
      </c>
      <c r="G93" s="10" t="n">
        <v>2</v>
      </c>
      <c r="H93" s="10" t="n">
        <v>3.4</v>
      </c>
      <c r="I93" s="10" t="n">
        <v>0.2</v>
      </c>
      <c r="J93" s="10" t="n">
        <v>1.3</v>
      </c>
      <c r="K93" s="10" t="n">
        <v>0.8</v>
      </c>
      <c r="L93" s="12" t="n">
        <f aca="false">SUM(G93:K93)</f>
        <v>7.7</v>
      </c>
      <c r="M93" s="13" t="str">
        <f aca="false">IF(E93&lt;500,"Tier 0 (&lt;$500)",IF(E93&lt;10000,"Tier 1 ($500-$10K)",IF(E93&lt;50000,"Tier 2 ($10K-$50K)","Tier 3 (&gt;$50K)")))</f>
        <v>Tier 1 ($500-$10K)</v>
      </c>
      <c r="N93" s="13" t="str">
        <f aca="false">IF(F93="2/10 Net 30","Yes","No")</f>
        <v>Yes</v>
      </c>
      <c r="O93" s="13" t="str">
        <f aca="false">IF(AND(N93="Yes",(G93+H93+I93+J93)&lt;=10),"Yes","No")</f>
        <v>Yes</v>
      </c>
      <c r="P93" s="13" t="str">
        <f aca="false">IF(L93&gt;30,"Yes","No")</f>
        <v>No</v>
      </c>
      <c r="Q93" s="14" t="n">
        <f aca="false">IF(AND(N93="Yes",O93="No"),E93*0.02,0)</f>
        <v>0</v>
      </c>
      <c r="R93" s="14" t="n">
        <f aca="false">IF(P93="Yes",E93*0.015,0)</f>
        <v>0</v>
      </c>
    </row>
    <row r="94" customFormat="false" ht="15" hidden="false" customHeight="false" outlineLevel="0" collapsed="false">
      <c r="A94" s="10" t="s">
        <v>156</v>
      </c>
      <c r="B94" s="10" t="s">
        <v>69</v>
      </c>
      <c r="C94" s="10" t="s">
        <v>36</v>
      </c>
      <c r="D94" s="10" t="s">
        <v>45</v>
      </c>
      <c r="E94" s="11" t="n">
        <v>2905.67</v>
      </c>
      <c r="F94" s="10" t="s">
        <v>55</v>
      </c>
      <c r="G94" s="10" t="n">
        <v>1.6</v>
      </c>
      <c r="H94" s="10" t="n">
        <v>3</v>
      </c>
      <c r="I94" s="10" t="n">
        <v>2.5</v>
      </c>
      <c r="J94" s="10" t="n">
        <v>4.8</v>
      </c>
      <c r="K94" s="10" t="n">
        <v>0.5</v>
      </c>
      <c r="L94" s="12" t="n">
        <f aca="false">SUM(G94:K94)</f>
        <v>12.4</v>
      </c>
      <c r="M94" s="13" t="str">
        <f aca="false">IF(E94&lt;500,"Tier 0 (&lt;$500)",IF(E94&lt;10000,"Tier 1 ($500-$10K)",IF(E94&lt;50000,"Tier 2 ($10K-$50K)","Tier 3 (&gt;$50K)")))</f>
        <v>Tier 1 ($500-$10K)</v>
      </c>
      <c r="N94" s="13" t="str">
        <f aca="false">IF(F94="2/10 Net 30","Yes","No")</f>
        <v>Yes</v>
      </c>
      <c r="O94" s="13" t="str">
        <f aca="false">IF(AND(N94="Yes",(G94+H94+I94+J94)&lt;=10),"Yes","No")</f>
        <v>No</v>
      </c>
      <c r="P94" s="13" t="str">
        <f aca="false">IF(L94&gt;30,"Yes","No")</f>
        <v>No</v>
      </c>
      <c r="Q94" s="14" t="n">
        <f aca="false">IF(AND(N94="Yes",O94="No"),E94*0.02,0)</f>
        <v>58.1134</v>
      </c>
      <c r="R94" s="14" t="n">
        <f aca="false">IF(P94="Yes",E94*0.015,0)</f>
        <v>0</v>
      </c>
    </row>
    <row r="95" customFormat="false" ht="15" hidden="false" customHeight="false" outlineLevel="0" collapsed="false">
      <c r="A95" s="10" t="s">
        <v>157</v>
      </c>
      <c r="B95" s="10" t="s">
        <v>35</v>
      </c>
      <c r="C95" s="10" t="s">
        <v>36</v>
      </c>
      <c r="D95" s="10" t="s">
        <v>62</v>
      </c>
      <c r="E95" s="11" t="n">
        <v>7836.58</v>
      </c>
      <c r="F95" s="10" t="s">
        <v>55</v>
      </c>
      <c r="G95" s="10" t="n">
        <v>1</v>
      </c>
      <c r="H95" s="10" t="n">
        <v>7.4</v>
      </c>
      <c r="I95" s="10" t="n">
        <v>3.5</v>
      </c>
      <c r="J95" s="10" t="n">
        <v>2</v>
      </c>
      <c r="K95" s="10" t="n">
        <v>1</v>
      </c>
      <c r="L95" s="12" t="n">
        <f aca="false">SUM(G95:K95)</f>
        <v>14.9</v>
      </c>
      <c r="M95" s="13" t="str">
        <f aca="false">IF(E95&lt;500,"Tier 0 (&lt;$500)",IF(E95&lt;10000,"Tier 1 ($500-$10K)",IF(E95&lt;50000,"Tier 2 ($10K-$50K)","Tier 3 (&gt;$50K)")))</f>
        <v>Tier 1 ($500-$10K)</v>
      </c>
      <c r="N95" s="13" t="str">
        <f aca="false">IF(F95="2/10 Net 30","Yes","No")</f>
        <v>Yes</v>
      </c>
      <c r="O95" s="13" t="str">
        <f aca="false">IF(AND(N95="Yes",(G95+H95+I95+J95)&lt;=10),"Yes","No")</f>
        <v>No</v>
      </c>
      <c r="P95" s="13" t="str">
        <f aca="false">IF(L95&gt;30,"Yes","No")</f>
        <v>No</v>
      </c>
      <c r="Q95" s="14" t="n">
        <f aca="false">IF(AND(N95="Yes",O95="No"),E95*0.02,0)</f>
        <v>156.7316</v>
      </c>
      <c r="R95" s="14" t="n">
        <f aca="false">IF(P95="Yes",E95*0.015,0)</f>
        <v>0</v>
      </c>
    </row>
    <row r="96" customFormat="false" ht="15" hidden="false" customHeight="false" outlineLevel="0" collapsed="false">
      <c r="A96" s="10" t="s">
        <v>158</v>
      </c>
      <c r="B96" s="10" t="s">
        <v>89</v>
      </c>
      <c r="C96" s="10" t="s">
        <v>44</v>
      </c>
      <c r="D96" s="10" t="s">
        <v>41</v>
      </c>
      <c r="E96" s="11" t="n">
        <v>4428.48</v>
      </c>
      <c r="F96" s="10" t="s">
        <v>38</v>
      </c>
      <c r="G96" s="10" t="n">
        <v>1.4</v>
      </c>
      <c r="H96" s="10" t="n">
        <v>5.7</v>
      </c>
      <c r="I96" s="10" t="n">
        <v>5.5</v>
      </c>
      <c r="J96" s="10" t="n">
        <v>6.3</v>
      </c>
      <c r="K96" s="10" t="n">
        <v>1.2</v>
      </c>
      <c r="L96" s="12" t="n">
        <f aca="false">SUM(G96:K96)</f>
        <v>20.1</v>
      </c>
      <c r="M96" s="13" t="str">
        <f aca="false">IF(E96&lt;500,"Tier 0 (&lt;$500)",IF(E96&lt;10000,"Tier 1 ($500-$10K)",IF(E96&lt;50000,"Tier 2 ($10K-$50K)","Tier 3 (&gt;$50K)")))</f>
        <v>Tier 1 ($500-$10K)</v>
      </c>
      <c r="N96" s="13" t="str">
        <f aca="false">IF(F96="2/10 Net 30","Yes","No")</f>
        <v>No</v>
      </c>
      <c r="O96" s="13" t="str">
        <f aca="false">IF(AND(N96="Yes",(G96+H96+I96+J96)&lt;=10),"Yes","No")</f>
        <v>No</v>
      </c>
      <c r="P96" s="13" t="str">
        <f aca="false">IF(L96&gt;30,"Yes","No")</f>
        <v>No</v>
      </c>
      <c r="Q96" s="14" t="n">
        <f aca="false">IF(AND(N96="Yes",O96="No"),E96*0.02,0)</f>
        <v>0</v>
      </c>
      <c r="R96" s="14" t="n">
        <f aca="false">IF(P96="Yes",E96*0.015,0)</f>
        <v>0</v>
      </c>
    </row>
    <row r="97" customFormat="false" ht="15" hidden="false" customHeight="false" outlineLevel="0" collapsed="false">
      <c r="A97" s="10" t="s">
        <v>159</v>
      </c>
      <c r="B97" s="10" t="s">
        <v>87</v>
      </c>
      <c r="C97" s="10" t="s">
        <v>36</v>
      </c>
      <c r="D97" s="10" t="s">
        <v>41</v>
      </c>
      <c r="E97" s="11" t="n">
        <v>2031.75</v>
      </c>
      <c r="F97" s="10" t="s">
        <v>38</v>
      </c>
      <c r="G97" s="10" t="n">
        <v>1.2</v>
      </c>
      <c r="H97" s="10" t="n">
        <v>3.2</v>
      </c>
      <c r="I97" s="10" t="n">
        <v>3.6</v>
      </c>
      <c r="J97" s="10" t="n">
        <v>7</v>
      </c>
      <c r="K97" s="10" t="n">
        <v>0.9</v>
      </c>
      <c r="L97" s="12" t="n">
        <f aca="false">SUM(G97:K97)</f>
        <v>15.9</v>
      </c>
      <c r="M97" s="13" t="str">
        <f aca="false">IF(E97&lt;500,"Tier 0 (&lt;$500)",IF(E97&lt;10000,"Tier 1 ($500-$10K)",IF(E97&lt;50000,"Tier 2 ($10K-$50K)","Tier 3 (&gt;$50K)")))</f>
        <v>Tier 1 ($500-$10K)</v>
      </c>
      <c r="N97" s="13" t="str">
        <f aca="false">IF(F97="2/10 Net 30","Yes","No")</f>
        <v>No</v>
      </c>
      <c r="O97" s="13" t="str">
        <f aca="false">IF(AND(N97="Yes",(G97+H97+I97+J97)&lt;=10),"Yes","No")</f>
        <v>No</v>
      </c>
      <c r="P97" s="13" t="str">
        <f aca="false">IF(L97&gt;30,"Yes","No")</f>
        <v>No</v>
      </c>
      <c r="Q97" s="14" t="n">
        <f aca="false">IF(AND(N97="Yes",O97="No"),E97*0.02,0)</f>
        <v>0</v>
      </c>
      <c r="R97" s="14" t="n">
        <f aca="false">IF(P97="Yes",E97*0.015,0)</f>
        <v>0</v>
      </c>
    </row>
    <row r="98" customFormat="false" ht="15" hidden="false" customHeight="false" outlineLevel="0" collapsed="false">
      <c r="A98" s="10" t="s">
        <v>160</v>
      </c>
      <c r="B98" s="10" t="s">
        <v>40</v>
      </c>
      <c r="C98" s="10" t="s">
        <v>36</v>
      </c>
      <c r="D98" s="10" t="s">
        <v>48</v>
      </c>
      <c r="E98" s="11" t="n">
        <v>1751.54</v>
      </c>
      <c r="F98" s="10" t="s">
        <v>55</v>
      </c>
      <c r="G98" s="10" t="n">
        <v>1.4</v>
      </c>
      <c r="H98" s="10" t="n">
        <v>6</v>
      </c>
      <c r="I98" s="10" t="n">
        <v>6.3</v>
      </c>
      <c r="J98" s="10" t="n">
        <v>4.5</v>
      </c>
      <c r="K98" s="10" t="n">
        <v>1.2</v>
      </c>
      <c r="L98" s="12" t="n">
        <f aca="false">SUM(G98:K98)</f>
        <v>19.4</v>
      </c>
      <c r="M98" s="13" t="str">
        <f aca="false">IF(E98&lt;500,"Tier 0 (&lt;$500)",IF(E98&lt;10000,"Tier 1 ($500-$10K)",IF(E98&lt;50000,"Tier 2 ($10K-$50K)","Tier 3 (&gt;$50K)")))</f>
        <v>Tier 1 ($500-$10K)</v>
      </c>
      <c r="N98" s="13" t="str">
        <f aca="false">IF(F98="2/10 Net 30","Yes","No")</f>
        <v>Yes</v>
      </c>
      <c r="O98" s="13" t="str">
        <f aca="false">IF(AND(N98="Yes",(G98+H98+I98+J98)&lt;=10),"Yes","No")</f>
        <v>No</v>
      </c>
      <c r="P98" s="13" t="str">
        <f aca="false">IF(L98&gt;30,"Yes","No")</f>
        <v>No</v>
      </c>
      <c r="Q98" s="14" t="n">
        <f aca="false">IF(AND(N98="Yes",O98="No"),E98*0.02,0)</f>
        <v>35.0308</v>
      </c>
      <c r="R98" s="14" t="n">
        <f aca="false">IF(P98="Yes",E98*0.015,0)</f>
        <v>0</v>
      </c>
    </row>
    <row r="99" customFormat="false" ht="15" hidden="false" customHeight="false" outlineLevel="0" collapsed="false">
      <c r="A99" s="10" t="s">
        <v>161</v>
      </c>
      <c r="B99" s="10" t="s">
        <v>35</v>
      </c>
      <c r="C99" s="10" t="s">
        <v>36</v>
      </c>
      <c r="D99" s="10" t="s">
        <v>41</v>
      </c>
      <c r="E99" s="11" t="n">
        <v>92.59</v>
      </c>
      <c r="F99" s="10" t="s">
        <v>55</v>
      </c>
      <c r="G99" s="10" t="n">
        <v>1.3</v>
      </c>
      <c r="H99" s="10" t="n">
        <v>5.5</v>
      </c>
      <c r="I99" s="10" t="n">
        <v>0</v>
      </c>
      <c r="J99" s="10" t="n">
        <v>0</v>
      </c>
      <c r="K99" s="10" t="n">
        <v>1.1</v>
      </c>
      <c r="L99" s="12" t="n">
        <f aca="false">SUM(G99:K99)</f>
        <v>7.9</v>
      </c>
      <c r="M99" s="13" t="str">
        <f aca="false">IF(E99&lt;500,"Tier 0 (&lt;$500)",IF(E99&lt;10000,"Tier 1 ($500-$10K)",IF(E99&lt;50000,"Tier 2 ($10K-$50K)","Tier 3 (&gt;$50K)")))</f>
        <v>Tier 0 (&lt;$500)</v>
      </c>
      <c r="N99" s="13" t="str">
        <f aca="false">IF(F99="2/10 Net 30","Yes","No")</f>
        <v>Yes</v>
      </c>
      <c r="O99" s="13" t="str">
        <f aca="false">IF(AND(N99="Yes",(G99+H99+I99+J99)&lt;=10),"Yes","No")</f>
        <v>Yes</v>
      </c>
      <c r="P99" s="13" t="str">
        <f aca="false">IF(L99&gt;30,"Yes","No")</f>
        <v>No</v>
      </c>
      <c r="Q99" s="14" t="n">
        <f aca="false">IF(AND(N99="Yes",O99="No"),E99*0.02,0)</f>
        <v>0</v>
      </c>
      <c r="R99" s="14" t="n">
        <f aca="false">IF(P99="Yes",E99*0.015,0)</f>
        <v>0</v>
      </c>
    </row>
    <row r="100" customFormat="false" ht="15" hidden="false" customHeight="false" outlineLevel="0" collapsed="false">
      <c r="A100" s="10" t="s">
        <v>162</v>
      </c>
      <c r="B100" s="10" t="s">
        <v>53</v>
      </c>
      <c r="C100" s="10" t="s">
        <v>36</v>
      </c>
      <c r="D100" s="10" t="s">
        <v>48</v>
      </c>
      <c r="E100" s="11" t="n">
        <v>302.86</v>
      </c>
      <c r="F100" s="10" t="s">
        <v>55</v>
      </c>
      <c r="G100" s="10" t="n">
        <v>0.2</v>
      </c>
      <c r="H100" s="10" t="n">
        <v>4.7</v>
      </c>
      <c r="I100" s="10" t="n">
        <v>0</v>
      </c>
      <c r="J100" s="10" t="n">
        <v>0</v>
      </c>
      <c r="K100" s="10" t="n">
        <v>0.1</v>
      </c>
      <c r="L100" s="12" t="n">
        <f aca="false">SUM(G100:K100)</f>
        <v>5</v>
      </c>
      <c r="M100" s="13" t="str">
        <f aca="false">IF(E100&lt;500,"Tier 0 (&lt;$500)",IF(E100&lt;10000,"Tier 1 ($500-$10K)",IF(E100&lt;50000,"Tier 2 ($10K-$50K)","Tier 3 (&gt;$50K)")))</f>
        <v>Tier 0 (&lt;$500)</v>
      </c>
      <c r="N100" s="13" t="str">
        <f aca="false">IF(F100="2/10 Net 30","Yes","No")</f>
        <v>Yes</v>
      </c>
      <c r="O100" s="13" t="str">
        <f aca="false">IF(AND(N100="Yes",(G100+H100+I100+J100)&lt;=10),"Yes","No")</f>
        <v>Yes</v>
      </c>
      <c r="P100" s="13" t="str">
        <f aca="false">IF(L100&gt;30,"Yes","No")</f>
        <v>No</v>
      </c>
      <c r="Q100" s="14" t="n">
        <f aca="false">IF(AND(N100="Yes",O100="No"),E100*0.02,0)</f>
        <v>0</v>
      </c>
      <c r="R100" s="14" t="n">
        <f aca="false">IF(P100="Yes",E100*0.015,0)</f>
        <v>0</v>
      </c>
    </row>
    <row r="101" customFormat="false" ht="15" hidden="false" customHeight="false" outlineLevel="0" collapsed="false">
      <c r="A101" s="10" t="s">
        <v>163</v>
      </c>
      <c r="B101" s="10" t="s">
        <v>47</v>
      </c>
      <c r="C101" s="10" t="s">
        <v>36</v>
      </c>
      <c r="D101" s="10" t="s">
        <v>45</v>
      </c>
      <c r="E101" s="11" t="n">
        <v>114446.61</v>
      </c>
      <c r="F101" s="10" t="s">
        <v>55</v>
      </c>
      <c r="G101" s="10" t="n">
        <v>1</v>
      </c>
      <c r="H101" s="10" t="n">
        <v>6.3</v>
      </c>
      <c r="I101" s="10" t="n">
        <v>3.1</v>
      </c>
      <c r="J101" s="10" t="n">
        <v>7.6</v>
      </c>
      <c r="K101" s="10" t="n">
        <v>1</v>
      </c>
      <c r="L101" s="12" t="n">
        <f aca="false">SUM(G101:K101)</f>
        <v>19</v>
      </c>
      <c r="M101" s="13" t="str">
        <f aca="false">IF(E101&lt;500,"Tier 0 (&lt;$500)",IF(E101&lt;10000,"Tier 1 ($500-$10K)",IF(E101&lt;50000,"Tier 2 ($10K-$50K)","Tier 3 (&gt;$50K)")))</f>
        <v>Tier 3 (&gt;$50K)</v>
      </c>
      <c r="N101" s="13" t="str">
        <f aca="false">IF(F101="2/10 Net 30","Yes","No")</f>
        <v>Yes</v>
      </c>
      <c r="O101" s="13" t="str">
        <f aca="false">IF(AND(N101="Yes",(G101+H101+I101+J101)&lt;=10),"Yes","No")</f>
        <v>No</v>
      </c>
      <c r="P101" s="13" t="str">
        <f aca="false">IF(L101&gt;30,"Yes","No")</f>
        <v>No</v>
      </c>
      <c r="Q101" s="14" t="n">
        <f aca="false">IF(AND(N101="Yes",O101="No"),E101*0.02,0)</f>
        <v>2288.9322</v>
      </c>
      <c r="R101" s="14" t="n">
        <f aca="false">IF(P101="Yes",E101*0.015,0)</f>
        <v>0</v>
      </c>
    </row>
    <row r="102" customFormat="false" ht="15" hidden="false" customHeight="false" outlineLevel="0" collapsed="false">
      <c r="A102" s="10" t="s">
        <v>164</v>
      </c>
      <c r="B102" s="10" t="s">
        <v>107</v>
      </c>
      <c r="C102" s="10" t="s">
        <v>44</v>
      </c>
      <c r="D102" s="10" t="s">
        <v>41</v>
      </c>
      <c r="E102" s="11" t="n">
        <v>46950.41</v>
      </c>
      <c r="F102" s="10" t="s">
        <v>38</v>
      </c>
      <c r="G102" s="10" t="n">
        <v>1.6</v>
      </c>
      <c r="H102" s="10" t="n">
        <v>4</v>
      </c>
      <c r="I102" s="10" t="n">
        <v>1.8</v>
      </c>
      <c r="J102" s="10" t="n">
        <v>3.6</v>
      </c>
      <c r="K102" s="10" t="n">
        <v>0.8</v>
      </c>
      <c r="L102" s="12" t="n">
        <f aca="false">SUM(G102:K102)</f>
        <v>11.8</v>
      </c>
      <c r="M102" s="13" t="str">
        <f aca="false">IF(E102&lt;500,"Tier 0 (&lt;$500)",IF(E102&lt;10000,"Tier 1 ($500-$10K)",IF(E102&lt;50000,"Tier 2 ($10K-$50K)","Tier 3 (&gt;$50K)")))</f>
        <v>Tier 2 ($10K-$50K)</v>
      </c>
      <c r="N102" s="13" t="str">
        <f aca="false">IF(F102="2/10 Net 30","Yes","No")</f>
        <v>No</v>
      </c>
      <c r="O102" s="13" t="str">
        <f aca="false">IF(AND(N102="Yes",(G102+H102+I102+J102)&lt;=10),"Yes","No")</f>
        <v>No</v>
      </c>
      <c r="P102" s="13" t="str">
        <f aca="false">IF(L102&gt;30,"Yes","No")</f>
        <v>No</v>
      </c>
      <c r="Q102" s="14" t="n">
        <f aca="false">IF(AND(N102="Yes",O102="No"),E102*0.02,0)</f>
        <v>0</v>
      </c>
      <c r="R102" s="14" t="n">
        <f aca="false">IF(P102="Yes",E102*0.015,0)</f>
        <v>0</v>
      </c>
    </row>
    <row r="103" customFormat="false" ht="15" hidden="false" customHeight="false" outlineLevel="0" collapsed="false">
      <c r="A103" s="10" t="s">
        <v>165</v>
      </c>
      <c r="B103" s="10" t="s">
        <v>40</v>
      </c>
      <c r="C103" s="10" t="s">
        <v>36</v>
      </c>
      <c r="D103" s="10" t="s">
        <v>45</v>
      </c>
      <c r="E103" s="11" t="n">
        <v>1946.95</v>
      </c>
      <c r="F103" s="10" t="s">
        <v>38</v>
      </c>
      <c r="G103" s="10" t="n">
        <v>1.3</v>
      </c>
      <c r="H103" s="10" t="n">
        <v>5.1</v>
      </c>
      <c r="I103" s="10" t="n">
        <v>2.3</v>
      </c>
      <c r="J103" s="10" t="n">
        <v>2.3</v>
      </c>
      <c r="K103" s="10" t="n">
        <v>1.3</v>
      </c>
      <c r="L103" s="12" t="n">
        <f aca="false">SUM(G103:K103)</f>
        <v>12.3</v>
      </c>
      <c r="M103" s="13" t="str">
        <f aca="false">IF(E103&lt;500,"Tier 0 (&lt;$500)",IF(E103&lt;10000,"Tier 1 ($500-$10K)",IF(E103&lt;50000,"Tier 2 ($10K-$50K)","Tier 3 (&gt;$50K)")))</f>
        <v>Tier 1 ($500-$10K)</v>
      </c>
      <c r="N103" s="13" t="str">
        <f aca="false">IF(F103="2/10 Net 30","Yes","No")</f>
        <v>No</v>
      </c>
      <c r="O103" s="13" t="str">
        <f aca="false">IF(AND(N103="Yes",(G103+H103+I103+J103)&lt;=10),"Yes","No")</f>
        <v>No</v>
      </c>
      <c r="P103" s="13" t="str">
        <f aca="false">IF(L103&gt;30,"Yes","No")</f>
        <v>No</v>
      </c>
      <c r="Q103" s="14" t="n">
        <f aca="false">IF(AND(N103="Yes",O103="No"),E103*0.02,0)</f>
        <v>0</v>
      </c>
      <c r="R103" s="14" t="n">
        <f aca="false">IF(P103="Yes",E103*0.015,0)</f>
        <v>0</v>
      </c>
    </row>
    <row r="104" customFormat="false" ht="15" hidden="false" customHeight="false" outlineLevel="0" collapsed="false">
      <c r="A104" s="10" t="s">
        <v>166</v>
      </c>
      <c r="B104" s="10" t="s">
        <v>103</v>
      </c>
      <c r="C104" s="10" t="s">
        <v>36</v>
      </c>
      <c r="D104" s="10" t="s">
        <v>37</v>
      </c>
      <c r="E104" s="11" t="n">
        <v>4990.97</v>
      </c>
      <c r="F104" s="10" t="s">
        <v>38</v>
      </c>
      <c r="G104" s="10" t="n">
        <v>0.7</v>
      </c>
      <c r="H104" s="10" t="n">
        <v>4.5</v>
      </c>
      <c r="I104" s="10" t="n">
        <v>4.9</v>
      </c>
      <c r="J104" s="10" t="n">
        <v>4.6</v>
      </c>
      <c r="K104" s="10" t="n">
        <v>1.2</v>
      </c>
      <c r="L104" s="12" t="n">
        <f aca="false">SUM(G104:K104)</f>
        <v>15.9</v>
      </c>
      <c r="M104" s="13" t="str">
        <f aca="false">IF(E104&lt;500,"Tier 0 (&lt;$500)",IF(E104&lt;10000,"Tier 1 ($500-$10K)",IF(E104&lt;50000,"Tier 2 ($10K-$50K)","Tier 3 (&gt;$50K)")))</f>
        <v>Tier 1 ($500-$10K)</v>
      </c>
      <c r="N104" s="13" t="str">
        <f aca="false">IF(F104="2/10 Net 30","Yes","No")</f>
        <v>No</v>
      </c>
      <c r="O104" s="13" t="str">
        <f aca="false">IF(AND(N104="Yes",(G104+H104+I104+J104)&lt;=10),"Yes","No")</f>
        <v>No</v>
      </c>
      <c r="P104" s="13" t="str">
        <f aca="false">IF(L104&gt;30,"Yes","No")</f>
        <v>No</v>
      </c>
      <c r="Q104" s="14" t="n">
        <f aca="false">IF(AND(N104="Yes",O104="No"),E104*0.02,0)</f>
        <v>0</v>
      </c>
      <c r="R104" s="14" t="n">
        <f aca="false">IF(P104="Yes",E104*0.015,0)</f>
        <v>0</v>
      </c>
    </row>
    <row r="105" customFormat="false" ht="15" hidden="false" customHeight="false" outlineLevel="0" collapsed="false">
      <c r="A105" s="10" t="s">
        <v>167</v>
      </c>
      <c r="B105" s="10" t="s">
        <v>87</v>
      </c>
      <c r="C105" s="10" t="s">
        <v>36</v>
      </c>
      <c r="D105" s="10" t="s">
        <v>54</v>
      </c>
      <c r="E105" s="11" t="n">
        <v>102473.3</v>
      </c>
      <c r="F105" s="10" t="s">
        <v>38</v>
      </c>
      <c r="G105" s="10" t="n">
        <v>1.1</v>
      </c>
      <c r="H105" s="10" t="n">
        <v>3.3</v>
      </c>
      <c r="I105" s="10" t="n">
        <v>5.1</v>
      </c>
      <c r="J105" s="10" t="n">
        <v>6.4</v>
      </c>
      <c r="K105" s="10" t="n">
        <v>1.5</v>
      </c>
      <c r="L105" s="12" t="n">
        <f aca="false">SUM(G105:K105)</f>
        <v>17.4</v>
      </c>
      <c r="M105" s="13" t="str">
        <f aca="false">IF(E105&lt;500,"Tier 0 (&lt;$500)",IF(E105&lt;10000,"Tier 1 ($500-$10K)",IF(E105&lt;50000,"Tier 2 ($10K-$50K)","Tier 3 (&gt;$50K)")))</f>
        <v>Tier 3 (&gt;$50K)</v>
      </c>
      <c r="N105" s="13" t="str">
        <f aca="false">IF(F105="2/10 Net 30","Yes","No")</f>
        <v>No</v>
      </c>
      <c r="O105" s="13" t="str">
        <f aca="false">IF(AND(N105="Yes",(G105+H105+I105+J105)&lt;=10),"Yes","No")</f>
        <v>No</v>
      </c>
      <c r="P105" s="13" t="str">
        <f aca="false">IF(L105&gt;30,"Yes","No")</f>
        <v>No</v>
      </c>
      <c r="Q105" s="14" t="n">
        <f aca="false">IF(AND(N105="Yes",O105="No"),E105*0.02,0)</f>
        <v>0</v>
      </c>
      <c r="R105" s="14" t="n">
        <f aca="false">IF(P105="Yes",E105*0.015,0)</f>
        <v>0</v>
      </c>
    </row>
    <row r="106" customFormat="false" ht="15" hidden="false" customHeight="false" outlineLevel="0" collapsed="false">
      <c r="A106" s="10" t="s">
        <v>168</v>
      </c>
      <c r="B106" s="10" t="s">
        <v>67</v>
      </c>
      <c r="C106" s="10" t="s">
        <v>36</v>
      </c>
      <c r="D106" s="10" t="s">
        <v>48</v>
      </c>
      <c r="E106" s="11" t="n">
        <v>32472.2</v>
      </c>
      <c r="F106" s="10" t="s">
        <v>38</v>
      </c>
      <c r="G106" s="10" t="n">
        <v>1.2</v>
      </c>
      <c r="H106" s="10" t="n">
        <v>4.3</v>
      </c>
      <c r="I106" s="10" t="n">
        <v>5</v>
      </c>
      <c r="J106" s="10" t="n">
        <v>3.9</v>
      </c>
      <c r="K106" s="10" t="n">
        <v>0.8</v>
      </c>
      <c r="L106" s="12" t="n">
        <f aca="false">SUM(G106:K106)</f>
        <v>15.2</v>
      </c>
      <c r="M106" s="13" t="str">
        <f aca="false">IF(E106&lt;500,"Tier 0 (&lt;$500)",IF(E106&lt;10000,"Tier 1 ($500-$10K)",IF(E106&lt;50000,"Tier 2 ($10K-$50K)","Tier 3 (&gt;$50K)")))</f>
        <v>Tier 2 ($10K-$50K)</v>
      </c>
      <c r="N106" s="13" t="str">
        <f aca="false">IF(F106="2/10 Net 30","Yes","No")</f>
        <v>No</v>
      </c>
      <c r="O106" s="13" t="str">
        <f aca="false">IF(AND(N106="Yes",(G106+H106+I106+J106)&lt;=10),"Yes","No")</f>
        <v>No</v>
      </c>
      <c r="P106" s="13" t="str">
        <f aca="false">IF(L106&gt;30,"Yes","No")</f>
        <v>No</v>
      </c>
      <c r="Q106" s="14" t="n">
        <f aca="false">IF(AND(N106="Yes",O106="No"),E106*0.02,0)</f>
        <v>0</v>
      </c>
      <c r="R106" s="14" t="n">
        <f aca="false">IF(P106="Yes",E106*0.015,0)</f>
        <v>0</v>
      </c>
    </row>
    <row r="107" customFormat="false" ht="15" hidden="false" customHeight="false" outlineLevel="0" collapsed="false">
      <c r="A107" s="10" t="s">
        <v>169</v>
      </c>
      <c r="B107" s="10" t="s">
        <v>91</v>
      </c>
      <c r="C107" s="10" t="s">
        <v>36</v>
      </c>
      <c r="D107" s="10" t="s">
        <v>48</v>
      </c>
      <c r="E107" s="11" t="n">
        <v>1695.04</v>
      </c>
      <c r="F107" s="10" t="s">
        <v>55</v>
      </c>
      <c r="G107" s="10" t="n">
        <v>1.4</v>
      </c>
      <c r="H107" s="10" t="n">
        <v>3.5</v>
      </c>
      <c r="I107" s="10" t="n">
        <v>4.9</v>
      </c>
      <c r="J107" s="10" t="n">
        <v>4.6</v>
      </c>
      <c r="K107" s="10" t="n">
        <v>0.6</v>
      </c>
      <c r="L107" s="12" t="n">
        <f aca="false">SUM(G107:K107)</f>
        <v>15</v>
      </c>
      <c r="M107" s="13" t="str">
        <f aca="false">IF(E107&lt;500,"Tier 0 (&lt;$500)",IF(E107&lt;10000,"Tier 1 ($500-$10K)",IF(E107&lt;50000,"Tier 2 ($10K-$50K)","Tier 3 (&gt;$50K)")))</f>
        <v>Tier 1 ($500-$10K)</v>
      </c>
      <c r="N107" s="13" t="str">
        <f aca="false">IF(F107="2/10 Net 30","Yes","No")</f>
        <v>Yes</v>
      </c>
      <c r="O107" s="13" t="str">
        <f aca="false">IF(AND(N107="Yes",(G107+H107+I107+J107)&lt;=10),"Yes","No")</f>
        <v>No</v>
      </c>
      <c r="P107" s="13" t="str">
        <f aca="false">IF(L107&gt;30,"Yes","No")</f>
        <v>No</v>
      </c>
      <c r="Q107" s="14" t="n">
        <f aca="false">IF(AND(N107="Yes",O107="No"),E107*0.02,0)</f>
        <v>33.9008</v>
      </c>
      <c r="R107" s="14" t="n">
        <f aca="false">IF(P107="Yes",E107*0.015,0)</f>
        <v>0</v>
      </c>
    </row>
    <row r="108" customFormat="false" ht="15" hidden="false" customHeight="false" outlineLevel="0" collapsed="false">
      <c r="A108" s="10" t="s">
        <v>170</v>
      </c>
      <c r="B108" s="10" t="s">
        <v>35</v>
      </c>
      <c r="C108" s="10" t="s">
        <v>36</v>
      </c>
      <c r="D108" s="10" t="s">
        <v>62</v>
      </c>
      <c r="E108" s="11" t="n">
        <v>8675.13</v>
      </c>
      <c r="F108" s="10" t="s">
        <v>55</v>
      </c>
      <c r="G108" s="10" t="n">
        <v>0.8</v>
      </c>
      <c r="H108" s="10" t="n">
        <v>4.2</v>
      </c>
      <c r="I108" s="10" t="n">
        <v>3.4</v>
      </c>
      <c r="J108" s="10" t="n">
        <v>3.5</v>
      </c>
      <c r="K108" s="10" t="n">
        <v>1.2</v>
      </c>
      <c r="L108" s="12" t="n">
        <f aca="false">SUM(G108:K108)</f>
        <v>13.1</v>
      </c>
      <c r="M108" s="13" t="str">
        <f aca="false">IF(E108&lt;500,"Tier 0 (&lt;$500)",IF(E108&lt;10000,"Tier 1 ($500-$10K)",IF(E108&lt;50000,"Tier 2 ($10K-$50K)","Tier 3 (&gt;$50K)")))</f>
        <v>Tier 1 ($500-$10K)</v>
      </c>
      <c r="N108" s="13" t="str">
        <f aca="false">IF(F108="2/10 Net 30","Yes","No")</f>
        <v>Yes</v>
      </c>
      <c r="O108" s="13" t="str">
        <f aca="false">IF(AND(N108="Yes",(G108+H108+I108+J108)&lt;=10),"Yes","No")</f>
        <v>No</v>
      </c>
      <c r="P108" s="13" t="str">
        <f aca="false">IF(L108&gt;30,"Yes","No")</f>
        <v>No</v>
      </c>
      <c r="Q108" s="14" t="n">
        <f aca="false">IF(AND(N108="Yes",O108="No"),E108*0.02,0)</f>
        <v>173.5026</v>
      </c>
      <c r="R108" s="14" t="n">
        <f aca="false">IF(P108="Yes",E108*0.015,0)</f>
        <v>0</v>
      </c>
    </row>
    <row r="109" customFormat="false" ht="15" hidden="false" customHeight="false" outlineLevel="0" collapsed="false">
      <c r="A109" s="10" t="s">
        <v>171</v>
      </c>
      <c r="B109" s="10" t="s">
        <v>47</v>
      </c>
      <c r="C109" s="10" t="s">
        <v>36</v>
      </c>
      <c r="D109" s="10" t="s">
        <v>54</v>
      </c>
      <c r="E109" s="11" t="n">
        <v>2423.76</v>
      </c>
      <c r="F109" s="10" t="s">
        <v>38</v>
      </c>
      <c r="G109" s="10" t="n">
        <v>0.5</v>
      </c>
      <c r="H109" s="10" t="n">
        <v>3.5</v>
      </c>
      <c r="I109" s="10" t="n">
        <v>0.5</v>
      </c>
      <c r="J109" s="10" t="n">
        <v>4.1</v>
      </c>
      <c r="K109" s="10" t="n">
        <v>1</v>
      </c>
      <c r="L109" s="12" t="n">
        <f aca="false">SUM(G109:K109)</f>
        <v>9.6</v>
      </c>
      <c r="M109" s="13" t="str">
        <f aca="false">IF(E109&lt;500,"Tier 0 (&lt;$500)",IF(E109&lt;10000,"Tier 1 ($500-$10K)",IF(E109&lt;50000,"Tier 2 ($10K-$50K)","Tier 3 (&gt;$50K)")))</f>
        <v>Tier 1 ($500-$10K)</v>
      </c>
      <c r="N109" s="13" t="str">
        <f aca="false">IF(F109="2/10 Net 30","Yes","No")</f>
        <v>No</v>
      </c>
      <c r="O109" s="13" t="str">
        <f aca="false">IF(AND(N109="Yes",(G109+H109+I109+J109)&lt;=10),"Yes","No")</f>
        <v>No</v>
      </c>
      <c r="P109" s="13" t="str">
        <f aca="false">IF(L109&gt;30,"Yes","No")</f>
        <v>No</v>
      </c>
      <c r="Q109" s="14" t="n">
        <f aca="false">IF(AND(N109="Yes",O109="No"),E109*0.02,0)</f>
        <v>0</v>
      </c>
      <c r="R109" s="14" t="n">
        <f aca="false">IF(P109="Yes",E109*0.015,0)</f>
        <v>0</v>
      </c>
    </row>
    <row r="110" customFormat="false" ht="15" hidden="false" customHeight="false" outlineLevel="0" collapsed="false">
      <c r="A110" s="10" t="s">
        <v>172</v>
      </c>
      <c r="B110" s="10" t="s">
        <v>74</v>
      </c>
      <c r="C110" s="10" t="s">
        <v>36</v>
      </c>
      <c r="D110" s="10" t="s">
        <v>54</v>
      </c>
      <c r="E110" s="11" t="n">
        <v>247.46</v>
      </c>
      <c r="F110" s="10" t="s">
        <v>38</v>
      </c>
      <c r="G110" s="10" t="n">
        <v>1.4</v>
      </c>
      <c r="H110" s="10" t="n">
        <v>3.3</v>
      </c>
      <c r="I110" s="10" t="n">
        <v>0</v>
      </c>
      <c r="J110" s="10" t="n">
        <v>0</v>
      </c>
      <c r="K110" s="10" t="n">
        <v>1</v>
      </c>
      <c r="L110" s="12" t="n">
        <f aca="false">SUM(G110:K110)</f>
        <v>5.7</v>
      </c>
      <c r="M110" s="13" t="str">
        <f aca="false">IF(E110&lt;500,"Tier 0 (&lt;$500)",IF(E110&lt;10000,"Tier 1 ($500-$10K)",IF(E110&lt;50000,"Tier 2 ($10K-$50K)","Tier 3 (&gt;$50K)")))</f>
        <v>Tier 0 (&lt;$500)</v>
      </c>
      <c r="N110" s="13" t="str">
        <f aca="false">IF(F110="2/10 Net 30","Yes","No")</f>
        <v>No</v>
      </c>
      <c r="O110" s="13" t="str">
        <f aca="false">IF(AND(N110="Yes",(G110+H110+I110+J110)&lt;=10),"Yes","No")</f>
        <v>No</v>
      </c>
      <c r="P110" s="13" t="str">
        <f aca="false">IF(L110&gt;30,"Yes","No")</f>
        <v>No</v>
      </c>
      <c r="Q110" s="14" t="n">
        <f aca="false">IF(AND(N110="Yes",O110="No"),E110*0.02,0)</f>
        <v>0</v>
      </c>
      <c r="R110" s="14" t="n">
        <f aca="false">IF(P110="Yes",E110*0.015,0)</f>
        <v>0</v>
      </c>
    </row>
    <row r="111" customFormat="false" ht="15" hidden="false" customHeight="false" outlineLevel="0" collapsed="false">
      <c r="A111" s="10" t="s">
        <v>173</v>
      </c>
      <c r="B111" s="10" t="s">
        <v>67</v>
      </c>
      <c r="C111" s="10" t="s">
        <v>36</v>
      </c>
      <c r="D111" s="10" t="s">
        <v>48</v>
      </c>
      <c r="E111" s="11" t="n">
        <v>47436.56</v>
      </c>
      <c r="F111" s="10" t="s">
        <v>38</v>
      </c>
      <c r="G111" s="10" t="n">
        <v>0.9</v>
      </c>
      <c r="H111" s="10" t="n">
        <v>5.7</v>
      </c>
      <c r="I111" s="10" t="n">
        <v>4.8</v>
      </c>
      <c r="J111" s="10" t="n">
        <v>4.2</v>
      </c>
      <c r="K111" s="10" t="n">
        <v>0.8</v>
      </c>
      <c r="L111" s="12" t="n">
        <f aca="false">SUM(G111:K111)</f>
        <v>16.4</v>
      </c>
      <c r="M111" s="13" t="str">
        <f aca="false">IF(E111&lt;500,"Tier 0 (&lt;$500)",IF(E111&lt;10000,"Tier 1 ($500-$10K)",IF(E111&lt;50000,"Tier 2 ($10K-$50K)","Tier 3 (&gt;$50K)")))</f>
        <v>Tier 2 ($10K-$50K)</v>
      </c>
      <c r="N111" s="13" t="str">
        <f aca="false">IF(F111="2/10 Net 30","Yes","No")</f>
        <v>No</v>
      </c>
      <c r="O111" s="13" t="str">
        <f aca="false">IF(AND(N111="Yes",(G111+H111+I111+J111)&lt;=10),"Yes","No")</f>
        <v>No</v>
      </c>
      <c r="P111" s="13" t="str">
        <f aca="false">IF(L111&gt;30,"Yes","No")</f>
        <v>No</v>
      </c>
      <c r="Q111" s="14" t="n">
        <f aca="false">IF(AND(N111="Yes",O111="No"),E111*0.02,0)</f>
        <v>0</v>
      </c>
      <c r="R111" s="14" t="n">
        <f aca="false">IF(P111="Yes",E111*0.015,0)</f>
        <v>0</v>
      </c>
    </row>
    <row r="112" customFormat="false" ht="15" hidden="false" customHeight="false" outlineLevel="0" collapsed="false">
      <c r="A112" s="10" t="s">
        <v>174</v>
      </c>
      <c r="B112" s="10" t="s">
        <v>67</v>
      </c>
      <c r="C112" s="10" t="s">
        <v>36</v>
      </c>
      <c r="D112" s="10" t="s">
        <v>54</v>
      </c>
      <c r="E112" s="11" t="n">
        <v>9275.88</v>
      </c>
      <c r="F112" s="10" t="s">
        <v>38</v>
      </c>
      <c r="G112" s="10" t="n">
        <v>1.4</v>
      </c>
      <c r="H112" s="10" t="n">
        <v>2.1</v>
      </c>
      <c r="I112" s="10" t="n">
        <v>3.5</v>
      </c>
      <c r="J112" s="10" t="n">
        <v>4.2</v>
      </c>
      <c r="K112" s="10" t="n">
        <v>1.7</v>
      </c>
      <c r="L112" s="12" t="n">
        <f aca="false">SUM(G112:K112)</f>
        <v>12.9</v>
      </c>
      <c r="M112" s="13" t="str">
        <f aca="false">IF(E112&lt;500,"Tier 0 (&lt;$500)",IF(E112&lt;10000,"Tier 1 ($500-$10K)",IF(E112&lt;50000,"Tier 2 ($10K-$50K)","Tier 3 (&gt;$50K)")))</f>
        <v>Tier 1 ($500-$10K)</v>
      </c>
      <c r="N112" s="13" t="str">
        <f aca="false">IF(F112="2/10 Net 30","Yes","No")</f>
        <v>No</v>
      </c>
      <c r="O112" s="13" t="str">
        <f aca="false">IF(AND(N112="Yes",(G112+H112+I112+J112)&lt;=10),"Yes","No")</f>
        <v>No</v>
      </c>
      <c r="P112" s="13" t="str">
        <f aca="false">IF(L112&gt;30,"Yes","No")</f>
        <v>No</v>
      </c>
      <c r="Q112" s="14" t="n">
        <f aca="false">IF(AND(N112="Yes",O112="No"),E112*0.02,0)</f>
        <v>0</v>
      </c>
      <c r="R112" s="14" t="n">
        <f aca="false">IF(P112="Yes",E112*0.015,0)</f>
        <v>0</v>
      </c>
    </row>
    <row r="113" customFormat="false" ht="15" hidden="false" customHeight="false" outlineLevel="0" collapsed="false">
      <c r="A113" s="10" t="s">
        <v>175</v>
      </c>
      <c r="B113" s="10" t="s">
        <v>74</v>
      </c>
      <c r="C113" s="10" t="s">
        <v>36</v>
      </c>
      <c r="D113" s="10" t="s">
        <v>41</v>
      </c>
      <c r="E113" s="11" t="n">
        <v>6625.14</v>
      </c>
      <c r="F113" s="10" t="s">
        <v>55</v>
      </c>
      <c r="G113" s="10" t="n">
        <v>1.2</v>
      </c>
      <c r="H113" s="10" t="n">
        <v>4.8</v>
      </c>
      <c r="I113" s="10" t="n">
        <v>3.6</v>
      </c>
      <c r="J113" s="10" t="n">
        <v>6.3</v>
      </c>
      <c r="K113" s="10" t="n">
        <v>0.9</v>
      </c>
      <c r="L113" s="12" t="n">
        <f aca="false">SUM(G113:K113)</f>
        <v>16.8</v>
      </c>
      <c r="M113" s="13" t="str">
        <f aca="false">IF(E113&lt;500,"Tier 0 (&lt;$500)",IF(E113&lt;10000,"Tier 1 ($500-$10K)",IF(E113&lt;50000,"Tier 2 ($10K-$50K)","Tier 3 (&gt;$50K)")))</f>
        <v>Tier 1 ($500-$10K)</v>
      </c>
      <c r="N113" s="13" t="str">
        <f aca="false">IF(F113="2/10 Net 30","Yes","No")</f>
        <v>Yes</v>
      </c>
      <c r="O113" s="13" t="str">
        <f aca="false">IF(AND(N113="Yes",(G113+H113+I113+J113)&lt;=10),"Yes","No")</f>
        <v>No</v>
      </c>
      <c r="P113" s="13" t="str">
        <f aca="false">IF(L113&gt;30,"Yes","No")</f>
        <v>No</v>
      </c>
      <c r="Q113" s="14" t="n">
        <f aca="false">IF(AND(N113="Yes",O113="No"),E113*0.02,0)</f>
        <v>132.5028</v>
      </c>
      <c r="R113" s="14" t="n">
        <f aca="false">IF(P113="Yes",E113*0.015,0)</f>
        <v>0</v>
      </c>
    </row>
    <row r="114" customFormat="false" ht="15" hidden="false" customHeight="false" outlineLevel="0" collapsed="false">
      <c r="A114" s="10" t="s">
        <v>176</v>
      </c>
      <c r="B114" s="10" t="s">
        <v>89</v>
      </c>
      <c r="C114" s="10" t="s">
        <v>44</v>
      </c>
      <c r="D114" s="10" t="s">
        <v>41</v>
      </c>
      <c r="E114" s="11" t="n">
        <v>571.31</v>
      </c>
      <c r="F114" s="10" t="s">
        <v>55</v>
      </c>
      <c r="G114" s="10" t="n">
        <v>1.8</v>
      </c>
      <c r="H114" s="10" t="n">
        <v>6.4</v>
      </c>
      <c r="I114" s="10" t="n">
        <v>3.7</v>
      </c>
      <c r="J114" s="10" t="n">
        <v>3.7</v>
      </c>
      <c r="K114" s="10" t="n">
        <v>0.7</v>
      </c>
      <c r="L114" s="12" t="n">
        <f aca="false">SUM(G114:K114)</f>
        <v>16.3</v>
      </c>
      <c r="M114" s="13" t="str">
        <f aca="false">IF(E114&lt;500,"Tier 0 (&lt;$500)",IF(E114&lt;10000,"Tier 1 ($500-$10K)",IF(E114&lt;50000,"Tier 2 ($10K-$50K)","Tier 3 (&gt;$50K)")))</f>
        <v>Tier 1 ($500-$10K)</v>
      </c>
      <c r="N114" s="13" t="str">
        <f aca="false">IF(F114="2/10 Net 30","Yes","No")</f>
        <v>Yes</v>
      </c>
      <c r="O114" s="13" t="str">
        <f aca="false">IF(AND(N114="Yes",(G114+H114+I114+J114)&lt;=10),"Yes","No")</f>
        <v>No</v>
      </c>
      <c r="P114" s="13" t="str">
        <f aca="false">IF(L114&gt;30,"Yes","No")</f>
        <v>No</v>
      </c>
      <c r="Q114" s="14" t="n">
        <f aca="false">IF(AND(N114="Yes",O114="No"),E114*0.02,0)</f>
        <v>11.4262</v>
      </c>
      <c r="R114" s="14" t="n">
        <f aca="false">IF(P114="Yes",E114*0.015,0)</f>
        <v>0</v>
      </c>
    </row>
    <row r="115" customFormat="false" ht="15" hidden="false" customHeight="false" outlineLevel="0" collapsed="false">
      <c r="A115" s="10" t="s">
        <v>177</v>
      </c>
      <c r="B115" s="10" t="s">
        <v>91</v>
      </c>
      <c r="C115" s="10" t="s">
        <v>36</v>
      </c>
      <c r="D115" s="10" t="s">
        <v>54</v>
      </c>
      <c r="E115" s="11" t="n">
        <v>2329.42</v>
      </c>
      <c r="F115" s="10" t="s">
        <v>55</v>
      </c>
      <c r="G115" s="10" t="n">
        <v>1.7</v>
      </c>
      <c r="H115" s="10" t="n">
        <v>8.6</v>
      </c>
      <c r="I115" s="10" t="n">
        <v>2.9</v>
      </c>
      <c r="J115" s="10" t="n">
        <v>6.3</v>
      </c>
      <c r="K115" s="10" t="n">
        <v>1.1</v>
      </c>
      <c r="L115" s="12" t="n">
        <f aca="false">SUM(G115:K115)</f>
        <v>20.6</v>
      </c>
      <c r="M115" s="13" t="str">
        <f aca="false">IF(E115&lt;500,"Tier 0 (&lt;$500)",IF(E115&lt;10000,"Tier 1 ($500-$10K)",IF(E115&lt;50000,"Tier 2 ($10K-$50K)","Tier 3 (&gt;$50K)")))</f>
        <v>Tier 1 ($500-$10K)</v>
      </c>
      <c r="N115" s="13" t="str">
        <f aca="false">IF(F115="2/10 Net 30","Yes","No")</f>
        <v>Yes</v>
      </c>
      <c r="O115" s="13" t="str">
        <f aca="false">IF(AND(N115="Yes",(G115+H115+I115+J115)&lt;=10),"Yes","No")</f>
        <v>No</v>
      </c>
      <c r="P115" s="13" t="str">
        <f aca="false">IF(L115&gt;30,"Yes","No")</f>
        <v>No</v>
      </c>
      <c r="Q115" s="14" t="n">
        <f aca="false">IF(AND(N115="Yes",O115="No"),E115*0.02,0)</f>
        <v>46.5884</v>
      </c>
      <c r="R115" s="14" t="n">
        <f aca="false">IF(P115="Yes",E115*0.015,0)</f>
        <v>0</v>
      </c>
    </row>
    <row r="116" customFormat="false" ht="15" hidden="false" customHeight="false" outlineLevel="0" collapsed="false">
      <c r="A116" s="10" t="s">
        <v>178</v>
      </c>
      <c r="B116" s="10" t="s">
        <v>103</v>
      </c>
      <c r="C116" s="10" t="s">
        <v>36</v>
      </c>
      <c r="D116" s="10" t="s">
        <v>62</v>
      </c>
      <c r="E116" s="11" t="n">
        <v>193.39</v>
      </c>
      <c r="F116" s="10" t="s">
        <v>38</v>
      </c>
      <c r="G116" s="10" t="n">
        <v>1.1</v>
      </c>
      <c r="H116" s="10" t="n">
        <v>1.9</v>
      </c>
      <c r="I116" s="10" t="n">
        <v>0</v>
      </c>
      <c r="J116" s="10" t="n">
        <v>0</v>
      </c>
      <c r="K116" s="10" t="n">
        <v>0.5</v>
      </c>
      <c r="L116" s="12" t="n">
        <f aca="false">SUM(G116:K116)</f>
        <v>3.5</v>
      </c>
      <c r="M116" s="13" t="str">
        <f aca="false">IF(E116&lt;500,"Tier 0 (&lt;$500)",IF(E116&lt;10000,"Tier 1 ($500-$10K)",IF(E116&lt;50000,"Tier 2 ($10K-$50K)","Tier 3 (&gt;$50K)")))</f>
        <v>Tier 0 (&lt;$500)</v>
      </c>
      <c r="N116" s="13" t="str">
        <f aca="false">IF(F116="2/10 Net 30","Yes","No")</f>
        <v>No</v>
      </c>
      <c r="O116" s="13" t="str">
        <f aca="false">IF(AND(N116="Yes",(G116+H116+I116+J116)&lt;=10),"Yes","No")</f>
        <v>No</v>
      </c>
      <c r="P116" s="13" t="str">
        <f aca="false">IF(L116&gt;30,"Yes","No")</f>
        <v>No</v>
      </c>
      <c r="Q116" s="14" t="n">
        <f aca="false">IF(AND(N116="Yes",O116="No"),E116*0.02,0)</f>
        <v>0</v>
      </c>
      <c r="R116" s="14" t="n">
        <f aca="false">IF(P116="Yes",E116*0.015,0)</f>
        <v>0</v>
      </c>
    </row>
    <row r="117" customFormat="false" ht="15" hidden="false" customHeight="false" outlineLevel="0" collapsed="false">
      <c r="A117" s="10" t="s">
        <v>179</v>
      </c>
      <c r="B117" s="10" t="s">
        <v>35</v>
      </c>
      <c r="C117" s="10" t="s">
        <v>36</v>
      </c>
      <c r="D117" s="10" t="s">
        <v>48</v>
      </c>
      <c r="E117" s="11" t="n">
        <v>32086.84</v>
      </c>
      <c r="F117" s="10" t="s">
        <v>38</v>
      </c>
      <c r="G117" s="10" t="n">
        <v>1.5</v>
      </c>
      <c r="H117" s="10" t="n">
        <v>4.4</v>
      </c>
      <c r="I117" s="10" t="n">
        <v>2.8</v>
      </c>
      <c r="J117" s="10" t="n">
        <v>6</v>
      </c>
      <c r="K117" s="10" t="n">
        <v>1.5</v>
      </c>
      <c r="L117" s="12" t="n">
        <f aca="false">SUM(G117:K117)</f>
        <v>16.2</v>
      </c>
      <c r="M117" s="13" t="str">
        <f aca="false">IF(E117&lt;500,"Tier 0 (&lt;$500)",IF(E117&lt;10000,"Tier 1 ($500-$10K)",IF(E117&lt;50000,"Tier 2 ($10K-$50K)","Tier 3 (&gt;$50K)")))</f>
        <v>Tier 2 ($10K-$50K)</v>
      </c>
      <c r="N117" s="13" t="str">
        <f aca="false">IF(F117="2/10 Net 30","Yes","No")</f>
        <v>No</v>
      </c>
      <c r="O117" s="13" t="str">
        <f aca="false">IF(AND(N117="Yes",(G117+H117+I117+J117)&lt;=10),"Yes","No")</f>
        <v>No</v>
      </c>
      <c r="P117" s="13" t="str">
        <f aca="false">IF(L117&gt;30,"Yes","No")</f>
        <v>No</v>
      </c>
      <c r="Q117" s="14" t="n">
        <f aca="false">IF(AND(N117="Yes",O117="No"),E117*0.02,0)</f>
        <v>0</v>
      </c>
      <c r="R117" s="14" t="n">
        <f aca="false">IF(P117="Yes",E117*0.015,0)</f>
        <v>0</v>
      </c>
    </row>
    <row r="118" customFormat="false" ht="15" hidden="false" customHeight="false" outlineLevel="0" collapsed="false">
      <c r="A118" s="10" t="s">
        <v>180</v>
      </c>
      <c r="B118" s="10" t="s">
        <v>35</v>
      </c>
      <c r="C118" s="10" t="s">
        <v>36</v>
      </c>
      <c r="D118" s="10" t="s">
        <v>54</v>
      </c>
      <c r="E118" s="11" t="n">
        <v>22732.74</v>
      </c>
      <c r="F118" s="10" t="s">
        <v>38</v>
      </c>
      <c r="G118" s="10" t="n">
        <v>1.4</v>
      </c>
      <c r="H118" s="10" t="n">
        <v>5.1</v>
      </c>
      <c r="I118" s="10" t="n">
        <v>4.6</v>
      </c>
      <c r="J118" s="10" t="n">
        <v>2.2</v>
      </c>
      <c r="K118" s="10" t="n">
        <v>1.2</v>
      </c>
      <c r="L118" s="12" t="n">
        <f aca="false">SUM(G118:K118)</f>
        <v>14.5</v>
      </c>
      <c r="M118" s="13" t="str">
        <f aca="false">IF(E118&lt;500,"Tier 0 (&lt;$500)",IF(E118&lt;10000,"Tier 1 ($500-$10K)",IF(E118&lt;50000,"Tier 2 ($10K-$50K)","Tier 3 (&gt;$50K)")))</f>
        <v>Tier 2 ($10K-$50K)</v>
      </c>
      <c r="N118" s="13" t="str">
        <f aca="false">IF(F118="2/10 Net 30","Yes","No")</f>
        <v>No</v>
      </c>
      <c r="O118" s="13" t="str">
        <f aca="false">IF(AND(N118="Yes",(G118+H118+I118+J118)&lt;=10),"Yes","No")</f>
        <v>No</v>
      </c>
      <c r="P118" s="13" t="str">
        <f aca="false">IF(L118&gt;30,"Yes","No")</f>
        <v>No</v>
      </c>
      <c r="Q118" s="14" t="n">
        <f aca="false">IF(AND(N118="Yes",O118="No"),E118*0.02,0)</f>
        <v>0</v>
      </c>
      <c r="R118" s="14" t="n">
        <f aca="false">IF(P118="Yes",E118*0.015,0)</f>
        <v>0</v>
      </c>
    </row>
    <row r="119" customFormat="false" ht="15" hidden="false" customHeight="false" outlineLevel="0" collapsed="false">
      <c r="A119" s="10" t="s">
        <v>181</v>
      </c>
      <c r="B119" s="10" t="s">
        <v>58</v>
      </c>
      <c r="C119" s="10" t="s">
        <v>44</v>
      </c>
      <c r="D119" s="10" t="s">
        <v>62</v>
      </c>
      <c r="E119" s="11" t="n">
        <v>4457.91</v>
      </c>
      <c r="F119" s="10" t="s">
        <v>55</v>
      </c>
      <c r="G119" s="10" t="n">
        <v>2.1</v>
      </c>
      <c r="H119" s="10" t="n">
        <v>3.7</v>
      </c>
      <c r="I119" s="10" t="n">
        <v>2.1</v>
      </c>
      <c r="J119" s="10" t="n">
        <v>3.6</v>
      </c>
      <c r="K119" s="10" t="n">
        <v>1</v>
      </c>
      <c r="L119" s="12" t="n">
        <f aca="false">SUM(G119:K119)</f>
        <v>12.5</v>
      </c>
      <c r="M119" s="13" t="str">
        <f aca="false">IF(E119&lt;500,"Tier 0 (&lt;$500)",IF(E119&lt;10000,"Tier 1 ($500-$10K)",IF(E119&lt;50000,"Tier 2 ($10K-$50K)","Tier 3 (&gt;$50K)")))</f>
        <v>Tier 1 ($500-$10K)</v>
      </c>
      <c r="N119" s="13" t="str">
        <f aca="false">IF(F119="2/10 Net 30","Yes","No")</f>
        <v>Yes</v>
      </c>
      <c r="O119" s="13" t="str">
        <f aca="false">IF(AND(N119="Yes",(G119+H119+I119+J119)&lt;=10),"Yes","No")</f>
        <v>No</v>
      </c>
      <c r="P119" s="13" t="str">
        <f aca="false">IF(L119&gt;30,"Yes","No")</f>
        <v>No</v>
      </c>
      <c r="Q119" s="14" t="n">
        <f aca="false">IF(AND(N119="Yes",O119="No"),E119*0.02,0)</f>
        <v>89.1582</v>
      </c>
      <c r="R119" s="14" t="n">
        <f aca="false">IF(P119="Yes",E119*0.015,0)</f>
        <v>0</v>
      </c>
    </row>
    <row r="120" customFormat="false" ht="15" hidden="false" customHeight="false" outlineLevel="0" collapsed="false">
      <c r="A120" s="10" t="s">
        <v>182</v>
      </c>
      <c r="B120" s="10" t="s">
        <v>58</v>
      </c>
      <c r="C120" s="10" t="s">
        <v>44</v>
      </c>
      <c r="D120" s="10" t="s">
        <v>45</v>
      </c>
      <c r="E120" s="11" t="n">
        <v>1958.34</v>
      </c>
      <c r="F120" s="10" t="s">
        <v>38</v>
      </c>
      <c r="G120" s="10" t="n">
        <v>1.3</v>
      </c>
      <c r="H120" s="10" t="n">
        <v>4.8</v>
      </c>
      <c r="I120" s="10" t="n">
        <v>3.8</v>
      </c>
      <c r="J120" s="10" t="n">
        <v>2.8</v>
      </c>
      <c r="K120" s="10" t="n">
        <v>0.9</v>
      </c>
      <c r="L120" s="12" t="n">
        <f aca="false">SUM(G120:K120)</f>
        <v>13.6</v>
      </c>
      <c r="M120" s="13" t="str">
        <f aca="false">IF(E120&lt;500,"Tier 0 (&lt;$500)",IF(E120&lt;10000,"Tier 1 ($500-$10K)",IF(E120&lt;50000,"Tier 2 ($10K-$50K)","Tier 3 (&gt;$50K)")))</f>
        <v>Tier 1 ($500-$10K)</v>
      </c>
      <c r="N120" s="13" t="str">
        <f aca="false">IF(F120="2/10 Net 30","Yes","No")</f>
        <v>No</v>
      </c>
      <c r="O120" s="13" t="str">
        <f aca="false">IF(AND(N120="Yes",(G120+H120+I120+J120)&lt;=10),"Yes","No")</f>
        <v>No</v>
      </c>
      <c r="P120" s="13" t="str">
        <f aca="false">IF(L120&gt;30,"Yes","No")</f>
        <v>No</v>
      </c>
      <c r="Q120" s="14" t="n">
        <f aca="false">IF(AND(N120="Yes",O120="No"),E120*0.02,0)</f>
        <v>0</v>
      </c>
      <c r="R120" s="14" t="n">
        <f aca="false">IF(P120="Yes",E120*0.015,0)</f>
        <v>0</v>
      </c>
    </row>
    <row r="121" customFormat="false" ht="15" hidden="false" customHeight="false" outlineLevel="0" collapsed="false">
      <c r="A121" s="10" t="s">
        <v>183</v>
      </c>
      <c r="B121" s="10" t="s">
        <v>67</v>
      </c>
      <c r="C121" s="10" t="s">
        <v>36</v>
      </c>
      <c r="D121" s="10" t="s">
        <v>37</v>
      </c>
      <c r="E121" s="11" t="n">
        <v>8318.89</v>
      </c>
      <c r="F121" s="10" t="s">
        <v>55</v>
      </c>
      <c r="G121" s="10" t="n">
        <v>1.1</v>
      </c>
      <c r="H121" s="10" t="n">
        <v>0.7</v>
      </c>
      <c r="I121" s="10" t="n">
        <v>2.5</v>
      </c>
      <c r="J121" s="10" t="n">
        <v>3.6</v>
      </c>
      <c r="K121" s="10" t="n">
        <v>0.8</v>
      </c>
      <c r="L121" s="12" t="n">
        <f aca="false">SUM(G121:K121)</f>
        <v>8.7</v>
      </c>
      <c r="M121" s="13" t="str">
        <f aca="false">IF(E121&lt;500,"Tier 0 (&lt;$500)",IF(E121&lt;10000,"Tier 1 ($500-$10K)",IF(E121&lt;50000,"Tier 2 ($10K-$50K)","Tier 3 (&gt;$50K)")))</f>
        <v>Tier 1 ($500-$10K)</v>
      </c>
      <c r="N121" s="13" t="str">
        <f aca="false">IF(F121="2/10 Net 30","Yes","No")</f>
        <v>Yes</v>
      </c>
      <c r="O121" s="13" t="str">
        <f aca="false">IF(AND(N121="Yes",(G121+H121+I121+J121)&lt;=10),"Yes","No")</f>
        <v>Yes</v>
      </c>
      <c r="P121" s="13" t="str">
        <f aca="false">IF(L121&gt;30,"Yes","No")</f>
        <v>No</v>
      </c>
      <c r="Q121" s="14" t="n">
        <f aca="false">IF(AND(N121="Yes",O121="No"),E121*0.02,0)</f>
        <v>0</v>
      </c>
      <c r="R121" s="14" t="n">
        <f aca="false">IF(P121="Yes",E121*0.015,0)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</cols>
  <sheetData>
    <row r="2" customFormat="false" ht="17.35" hidden="false" customHeight="false" outlineLevel="0" collapsed="false">
      <c r="B2" s="15" t="s">
        <v>184</v>
      </c>
      <c r="C2" s="15"/>
      <c r="D2" s="15"/>
      <c r="E2" s="15"/>
      <c r="F2" s="15"/>
    </row>
    <row r="4" customFormat="false" ht="15" hidden="false" customHeight="false" outlineLevel="0" collapsed="false">
      <c r="B4" s="3" t="s">
        <v>185</v>
      </c>
    </row>
    <row r="5" customFormat="false" ht="15" hidden="false" customHeight="false" outlineLevel="0" collapsed="false">
      <c r="B5" s="0" t="s">
        <v>186</v>
      </c>
      <c r="E5" s="16" t="n">
        <f aca="false">AVERAGEIFS('Invoice Sample'!G2:G121,'Invoice Sample'!C2:C121,"Recurring")</f>
        <v>1.18720930232558</v>
      </c>
    </row>
    <row r="6" customFormat="false" ht="15" hidden="false" customHeight="false" outlineLevel="0" collapsed="false">
      <c r="B6" s="0" t="s">
        <v>187</v>
      </c>
      <c r="E6" s="16" t="n">
        <f aca="false">AVERAGEIFS('Invoice Sample'!G2:G121,'Invoice Sample'!C2:C121,"One-off")</f>
        <v>1.57352941176471</v>
      </c>
    </row>
    <row r="7" customFormat="false" ht="15" hidden="false" customHeight="false" outlineLevel="0" collapsed="false">
      <c r="B7" s="0" t="s">
        <v>188</v>
      </c>
      <c r="E7" s="16" t="n">
        <f aca="false">AVERAGE('Invoice Sample'!H2:H121)</f>
        <v>4.165</v>
      </c>
    </row>
    <row r="8" customFormat="false" ht="15" hidden="false" customHeight="false" outlineLevel="0" collapsed="false">
      <c r="B8" s="0" t="s">
        <v>189</v>
      </c>
      <c r="E8" s="16" t="n">
        <f aca="false">AVERAGEIF('Invoice Sample'!E2:E121,"&gt;=500",'Invoice Sample'!I2:I121)</f>
        <v>3.55959595959596</v>
      </c>
    </row>
    <row r="9" customFormat="false" ht="15" hidden="false" customHeight="false" outlineLevel="0" collapsed="false">
      <c r="B9" s="0" t="s">
        <v>190</v>
      </c>
      <c r="E9" s="16" t="n">
        <f aca="false">AVERAGEIF('Invoice Sample'!E2:E121,"&gt;=500",'Invoice Sample'!J2:J121)</f>
        <v>4.18989898989899</v>
      </c>
    </row>
    <row r="10" customFormat="false" ht="15" hidden="false" customHeight="false" outlineLevel="0" collapsed="false">
      <c r="B10" s="0" t="s">
        <v>191</v>
      </c>
      <c r="E10" s="16" t="n">
        <f aca="false">AVERAGE('Invoice Sample'!K2:K121)</f>
        <v>0.98</v>
      </c>
    </row>
    <row r="13" customFormat="false" ht="15" hidden="false" customHeight="false" outlineLevel="0" collapsed="false">
      <c r="B13" s="3" t="s">
        <v>192</v>
      </c>
    </row>
    <row r="14" customFormat="false" ht="15" hidden="false" customHeight="false" outlineLevel="0" collapsed="false">
      <c r="B14" s="17" t="s">
        <v>28</v>
      </c>
      <c r="C14" s="17" t="s">
        <v>193</v>
      </c>
      <c r="D14" s="17" t="s">
        <v>194</v>
      </c>
      <c r="E14" s="17" t="s">
        <v>195</v>
      </c>
      <c r="F14" s="17" t="s">
        <v>196</v>
      </c>
    </row>
    <row r="15" customFormat="false" ht="15" hidden="false" customHeight="false" outlineLevel="0" collapsed="false">
      <c r="B15" s="18" t="s">
        <v>197</v>
      </c>
      <c r="C15" s="19" t="n">
        <f aca="false">COUNTIF('Invoice Sample'!M2:M121,B15)</f>
        <v>21</v>
      </c>
      <c r="D15" s="20" t="n">
        <f aca="false">C15/120</f>
        <v>0.175</v>
      </c>
      <c r="E15" s="21" t="n">
        <f aca="false">AVERAGEIF('Invoice Sample'!M2:M121,B15,'Invoice Sample'!E2:E121)</f>
        <v>231.451428571429</v>
      </c>
      <c r="F15" s="22" t="n">
        <f aca="false">AVERAGEIF('Invoice Sample'!M2:M121,B15,'Invoice Sample'!L2:L121)</f>
        <v>5.73333333333333</v>
      </c>
    </row>
    <row r="16" customFormat="false" ht="15" hidden="false" customHeight="false" outlineLevel="0" collapsed="false">
      <c r="B16" s="18" t="s">
        <v>198</v>
      </c>
      <c r="C16" s="19" t="n">
        <f aca="false">COUNTIF('Invoice Sample'!M2:M121,B16)</f>
        <v>69</v>
      </c>
      <c r="D16" s="20" t="n">
        <f aca="false">C16/120</f>
        <v>0.575</v>
      </c>
      <c r="E16" s="21" t="n">
        <f aca="false">AVERAGEIF('Invoice Sample'!M2:M121,B16,'Invoice Sample'!E2:E121)</f>
        <v>5153.98782608696</v>
      </c>
      <c r="F16" s="22" t="n">
        <f aca="false">AVERAGEIF('Invoice Sample'!M2:M121,B16,'Invoice Sample'!L2:L121)</f>
        <v>13.9536231884058</v>
      </c>
    </row>
    <row r="17" customFormat="false" ht="15" hidden="false" customHeight="false" outlineLevel="0" collapsed="false">
      <c r="B17" s="18" t="s">
        <v>199</v>
      </c>
      <c r="C17" s="19" t="n">
        <f aca="false">COUNTIF('Invoice Sample'!M2:M121,B17)</f>
        <v>25</v>
      </c>
      <c r="D17" s="20" t="n">
        <f aca="false">C17/120</f>
        <v>0.208333333333333</v>
      </c>
      <c r="E17" s="21" t="n">
        <f aca="false">AVERAGEIF('Invoice Sample'!M2:M121,B17,'Invoice Sample'!E2:E121)</f>
        <v>29797.5416</v>
      </c>
      <c r="F17" s="22" t="n">
        <f aca="false">AVERAGEIF('Invoice Sample'!M2:M121,B17,'Invoice Sample'!L2:L121)</f>
        <v>15.124</v>
      </c>
    </row>
    <row r="18" customFormat="false" ht="15" hidden="false" customHeight="false" outlineLevel="0" collapsed="false">
      <c r="B18" s="18" t="s">
        <v>200</v>
      </c>
      <c r="C18" s="19" t="n">
        <f aca="false">COUNTIF('Invoice Sample'!M2:M121,B18)</f>
        <v>5</v>
      </c>
      <c r="D18" s="20" t="n">
        <f aca="false">C18/120</f>
        <v>0.0416666666666667</v>
      </c>
      <c r="E18" s="21" t="n">
        <f aca="false">AVERAGEIF('Invoice Sample'!M2:M121,B18,'Invoice Sample'!E2:E121)</f>
        <v>93494.742</v>
      </c>
      <c r="F18" s="22" t="n">
        <f aca="false">AVERAGEIF('Invoice Sample'!M2:M121,B18,'Invoice Sample'!L2:L121)</f>
        <v>15.78</v>
      </c>
    </row>
    <row r="21" customFormat="false" ht="15" hidden="false" customHeight="false" outlineLevel="0" collapsed="false">
      <c r="B21" s="3" t="s">
        <v>201</v>
      </c>
    </row>
    <row r="22" customFormat="false" ht="15" hidden="false" customHeight="false" outlineLevel="0" collapsed="false">
      <c r="B22" s="0" t="s">
        <v>202</v>
      </c>
      <c r="E22" s="23" t="n">
        <f aca="false">COUNTIFS('Invoice Sample'!N2:N121,"Yes",'Invoice Sample'!O2:O121,"No")</f>
        <v>36</v>
      </c>
    </row>
    <row r="23" customFormat="false" ht="15" hidden="false" customHeight="false" outlineLevel="0" collapsed="false">
      <c r="B23" s="0" t="s">
        <v>203</v>
      </c>
      <c r="E23" s="24" t="n">
        <f aca="false">SUM('Invoice Sample'!Q2:Q121)</f>
        <v>10401.238</v>
      </c>
    </row>
    <row r="24" customFormat="false" ht="15" hidden="false" customHeight="false" outlineLevel="0" collapsed="false">
      <c r="B24" s="0" t="s">
        <v>204</v>
      </c>
      <c r="E24" s="23" t="n">
        <f aca="false">COUNTIF('Invoice Sample'!P2:P121,"Yes")</f>
        <v>0</v>
      </c>
    </row>
    <row r="25" customFormat="false" ht="15" hidden="false" customHeight="false" outlineLevel="0" collapsed="false">
      <c r="B25" s="0" t="s">
        <v>205</v>
      </c>
      <c r="E25" s="24" t="n">
        <f aca="false">SUM('Invoice Sample'!R2:R121)</f>
        <v>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5" min="3" style="0" width="12"/>
    <col collapsed="false" customWidth="true" hidden="false" outlineLevel="0" max="6" min="6" style="0" width="30"/>
  </cols>
  <sheetData>
    <row r="2" customFormat="false" ht="17.35" hidden="false" customHeight="false" outlineLevel="0" collapsed="false">
      <c r="B2" s="15" t="s">
        <v>206</v>
      </c>
      <c r="C2" s="15"/>
      <c r="D2" s="15"/>
      <c r="E2" s="15"/>
      <c r="F2" s="15"/>
      <c r="G2" s="15"/>
      <c r="H2" s="15"/>
    </row>
    <row r="4" customFormat="false" ht="15" hidden="false" customHeight="false" outlineLevel="0" collapsed="false">
      <c r="B4" s="3" t="s">
        <v>207</v>
      </c>
    </row>
    <row r="5" customFormat="false" ht="15" hidden="false" customHeight="false" outlineLevel="0" collapsed="false">
      <c r="B5" s="0" t="s">
        <v>208</v>
      </c>
      <c r="F5" s="25" t="s">
        <v>209</v>
      </c>
    </row>
    <row r="6" customFormat="false" ht="15" hidden="false" customHeight="false" outlineLevel="0" collapsed="false">
      <c r="B6" s="0" t="s">
        <v>210</v>
      </c>
      <c r="F6" s="25" t="s">
        <v>211</v>
      </c>
    </row>
    <row r="7" customFormat="false" ht="15" hidden="false" customHeight="false" outlineLevel="0" collapsed="false">
      <c r="B7" s="0" t="s">
        <v>212</v>
      </c>
      <c r="F7" s="25" t="s">
        <v>213</v>
      </c>
    </row>
    <row r="8" customFormat="false" ht="15" hidden="false" customHeight="false" outlineLevel="0" collapsed="false">
      <c r="B8" s="0" t="s">
        <v>214</v>
      </c>
      <c r="F8" s="25" t="s">
        <v>215</v>
      </c>
    </row>
    <row r="10" customFormat="false" ht="15" hidden="false" customHeight="false" outlineLevel="0" collapsed="false">
      <c r="B10" s="0" t="s">
        <v>216</v>
      </c>
      <c r="F10" s="26" t="n">
        <v>0.8</v>
      </c>
    </row>
    <row r="11" customFormat="false" ht="15" hidden="false" customHeight="false" outlineLevel="0" collapsed="false">
      <c r="B11" s="0" t="s">
        <v>217</v>
      </c>
      <c r="F11" s="26" t="n">
        <v>0</v>
      </c>
    </row>
    <row r="12" customFormat="false" ht="15" hidden="false" customHeight="false" outlineLevel="0" collapsed="false">
      <c r="B12" s="0" t="s">
        <v>218</v>
      </c>
      <c r="F12" s="26" t="n">
        <v>0.42</v>
      </c>
    </row>
    <row r="13" customFormat="false" ht="15" hidden="false" customHeight="false" outlineLevel="0" collapsed="false">
      <c r="B13" s="0" t="s">
        <v>219</v>
      </c>
      <c r="F13" s="26" t="n">
        <v>0.3</v>
      </c>
    </row>
    <row r="15" customFormat="false" ht="15" hidden="false" customHeight="false" outlineLevel="0" collapsed="false">
      <c r="B15" s="3" t="s">
        <v>220</v>
      </c>
    </row>
    <row r="16" customFormat="false" ht="15" hidden="false" customHeight="false" outlineLevel="0" collapsed="false">
      <c r="B16" s="0" t="s">
        <v>221</v>
      </c>
      <c r="F16" s="27" t="n">
        <v>18000</v>
      </c>
    </row>
    <row r="17" customFormat="false" ht="15" hidden="false" customHeight="false" outlineLevel="0" collapsed="false">
      <c r="B17" s="0" t="s">
        <v>222</v>
      </c>
      <c r="F17" s="27" t="n">
        <v>9600</v>
      </c>
    </row>
    <row r="18" customFormat="false" ht="15" hidden="false" customHeight="false" outlineLevel="0" collapsed="false">
      <c r="B18" s="0" t="s">
        <v>223</v>
      </c>
      <c r="F18" s="27" t="n">
        <v>22000</v>
      </c>
    </row>
    <row r="20" customFormat="false" ht="15" hidden="false" customHeight="false" outlineLevel="0" collapsed="false">
      <c r="B20" s="3" t="s">
        <v>224</v>
      </c>
    </row>
    <row r="21" customFormat="false" ht="15" hidden="false" customHeight="false" outlineLevel="0" collapsed="false">
      <c r="B21" s="17" t="s">
        <v>225</v>
      </c>
      <c r="C21" s="17" t="s">
        <v>226</v>
      </c>
      <c r="D21" s="17" t="s">
        <v>227</v>
      </c>
      <c r="E21" s="17" t="s">
        <v>228</v>
      </c>
    </row>
    <row r="22" customFormat="false" ht="15" hidden="false" customHeight="false" outlineLevel="0" collapsed="false">
      <c r="B22" s="28" t="s">
        <v>229</v>
      </c>
      <c r="C22" s="29" t="n">
        <f aca="false">'Bottleneck Analysis'!E5</f>
        <v>1.18720930232558</v>
      </c>
      <c r="D22" s="30" t="n">
        <f aca="false">F10</f>
        <v>0.8</v>
      </c>
      <c r="E22" s="31" t="n">
        <f aca="false">C22*(1-D22)</f>
        <v>0.237441860465116</v>
      </c>
    </row>
    <row r="23" customFormat="false" ht="15" hidden="false" customHeight="false" outlineLevel="0" collapsed="false">
      <c r="B23" s="28" t="s">
        <v>230</v>
      </c>
      <c r="C23" s="29" t="n">
        <f aca="false">'Bottleneck Analysis'!E6</f>
        <v>1.57352941176471</v>
      </c>
      <c r="D23" s="30" t="n">
        <f aca="false">F11</f>
        <v>0</v>
      </c>
      <c r="E23" s="31" t="n">
        <f aca="false">C23*(1-D23)</f>
        <v>1.57352941176471</v>
      </c>
    </row>
    <row r="24" customFormat="false" ht="15" hidden="false" customHeight="false" outlineLevel="0" collapsed="false">
      <c r="B24" s="28" t="s">
        <v>231</v>
      </c>
      <c r="C24" s="29" t="n">
        <f aca="false">'Bottleneck Analysis'!E7</f>
        <v>4.165</v>
      </c>
      <c r="D24" s="30" t="n">
        <f aca="false">F12</f>
        <v>0.42</v>
      </c>
      <c r="E24" s="31" t="n">
        <f aca="false">C24*(1-D24)</f>
        <v>2.4157</v>
      </c>
    </row>
    <row r="25" customFormat="false" ht="15" hidden="false" customHeight="false" outlineLevel="0" collapsed="false">
      <c r="B25" s="28" t="s">
        <v>232</v>
      </c>
      <c r="C25" s="29" t="n">
        <f aca="false">'Bottleneck Analysis'!E8</f>
        <v>3.55959595959596</v>
      </c>
      <c r="D25" s="30" t="n">
        <f aca="false">F12</f>
        <v>0.42</v>
      </c>
      <c r="E25" s="31" t="n">
        <f aca="false">C25*(1-D25)</f>
        <v>2.06456565656566</v>
      </c>
    </row>
    <row r="26" customFormat="false" ht="15" hidden="false" customHeight="false" outlineLevel="0" collapsed="false">
      <c r="B26" s="28" t="s">
        <v>233</v>
      </c>
      <c r="C26" s="29" t="n">
        <f aca="false">'Bottleneck Analysis'!E9</f>
        <v>4.18989898989899</v>
      </c>
      <c r="D26" s="30" t="n">
        <f aca="false">F12</f>
        <v>0.42</v>
      </c>
      <c r="E26" s="31" t="n">
        <f aca="false">C26*(1-D26)</f>
        <v>2.43014141414141</v>
      </c>
    </row>
    <row r="27" customFormat="false" ht="15" hidden="false" customHeight="false" outlineLevel="0" collapsed="false">
      <c r="B27" s="28" t="s">
        <v>191</v>
      </c>
      <c r="C27" s="29" t="n">
        <f aca="false">'Bottleneck Analysis'!E10</f>
        <v>0.98</v>
      </c>
      <c r="D27" s="30" t="n">
        <f aca="false">F13</f>
        <v>0.3</v>
      </c>
      <c r="E27" s="31" t="n">
        <f aca="false">C27*(1-D27)</f>
        <v>0.686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10" min="8" style="0" width="13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6" min="15" style="0" width="14"/>
  </cols>
  <sheetData>
    <row r="1" customFormat="false" ht="35.05" hidden="false" customHeight="false" outlineLevel="0" collapsed="false">
      <c r="A1" s="9" t="s">
        <v>16</v>
      </c>
      <c r="B1" s="9" t="s">
        <v>18</v>
      </c>
      <c r="C1" s="9" t="s">
        <v>20</v>
      </c>
      <c r="D1" s="9" t="s">
        <v>28</v>
      </c>
      <c r="E1" s="9" t="s">
        <v>21</v>
      </c>
      <c r="F1" s="9" t="s">
        <v>234</v>
      </c>
      <c r="G1" s="9" t="s">
        <v>235</v>
      </c>
      <c r="H1" s="9" t="s">
        <v>236</v>
      </c>
      <c r="I1" s="9" t="s">
        <v>237</v>
      </c>
      <c r="J1" s="9" t="s">
        <v>238</v>
      </c>
      <c r="K1" s="9" t="s">
        <v>239</v>
      </c>
      <c r="L1" s="9" t="s">
        <v>29</v>
      </c>
      <c r="M1" s="9" t="s">
        <v>240</v>
      </c>
      <c r="N1" s="9" t="s">
        <v>241</v>
      </c>
      <c r="O1" s="9" t="s">
        <v>242</v>
      </c>
      <c r="P1" s="9" t="s">
        <v>243</v>
      </c>
    </row>
    <row r="2" customFormat="false" ht="15" hidden="false" customHeight="false" outlineLevel="0" collapsed="false">
      <c r="A2" s="19" t="str">
        <f aca="false">'Invoice Sample'!A2</f>
        <v>INV-2031</v>
      </c>
      <c r="B2" s="19" t="str">
        <f aca="false">'Invoice Sample'!C2</f>
        <v>Recurring</v>
      </c>
      <c r="C2" s="32" t="n">
        <f aca="false">'Invoice Sample'!E2</f>
        <v>13377.69</v>
      </c>
      <c r="D2" s="19" t="str">
        <f aca="false">'Invoice Sample'!M2</f>
        <v>Tier 2 ($10K-$50K)</v>
      </c>
      <c r="E2" s="19" t="str">
        <f aca="false">'Invoice Sample'!F2</f>
        <v>Net 30</v>
      </c>
      <c r="F2" s="31" t="n">
        <f aca="false">IF(B2="Recurring",'Future-State Model'!E22,'Future-State Model'!E23)</f>
        <v>0.237441860465116</v>
      </c>
      <c r="G2" s="31" t="n">
        <f aca="false">'Future-State Model'!E24</f>
        <v>2.4157</v>
      </c>
      <c r="H2" s="31" t="n">
        <f aca="false">IF(OR(D2="Tier 2 ($10K-$50K)",D2="Tier 3 (&gt;$50K)"),'Future-State Model'!E25,0)</f>
        <v>2.06456565656566</v>
      </c>
      <c r="I2" s="13" t="n">
        <f aca="false">IF(D2="Tier 3 (&gt;$50K)",'Future-State Model'!E26,0)</f>
        <v>0</v>
      </c>
      <c r="J2" s="31" t="n">
        <f aca="false">'Future-State Model'!E27</f>
        <v>0.686</v>
      </c>
      <c r="K2" s="12" t="n">
        <f aca="false">SUM(F2:J2)</f>
        <v>5.40370751703077</v>
      </c>
      <c r="L2" s="13" t="str">
        <f aca="false">IF(E2="2/10 Net 30","Yes","No")</f>
        <v>No</v>
      </c>
      <c r="M2" s="13" t="str">
        <f aca="false">IF(AND(L2="Yes",(F2+G2+H2+I2)&lt;=10),"Yes","No")</f>
        <v>No</v>
      </c>
      <c r="N2" s="13" t="str">
        <f aca="false">IF(K2&gt;30,"Yes","No")</f>
        <v>No</v>
      </c>
      <c r="O2" s="14" t="n">
        <f aca="false">IF(AND(L2="Yes",'Invoice Sample'!O2="No",M2="Yes"),C2*0.02,0)</f>
        <v>0</v>
      </c>
      <c r="P2" s="14" t="n">
        <f aca="false">IF(AND('Invoice Sample'!P2="Yes",N2="No"),C2*0.015,0)</f>
        <v>0</v>
      </c>
    </row>
    <row r="3" customFormat="false" ht="15" hidden="false" customHeight="false" outlineLevel="0" collapsed="false">
      <c r="A3" s="19" t="str">
        <f aca="false">'Invoice Sample'!A3</f>
        <v>INV-2032</v>
      </c>
      <c r="B3" s="19" t="str">
        <f aca="false">'Invoice Sample'!C3</f>
        <v>Recurring</v>
      </c>
      <c r="C3" s="32" t="n">
        <f aca="false">'Invoice Sample'!E3</f>
        <v>9287.72</v>
      </c>
      <c r="D3" s="19" t="str">
        <f aca="false">'Invoice Sample'!M3</f>
        <v>Tier 1 ($500-$10K)</v>
      </c>
      <c r="E3" s="19" t="str">
        <f aca="false">'Invoice Sample'!F3</f>
        <v>Net 30</v>
      </c>
      <c r="F3" s="31" t="n">
        <f aca="false">IF(B3="Recurring",'Future-State Model'!E22,'Future-State Model'!E23)</f>
        <v>0.237441860465116</v>
      </c>
      <c r="G3" s="31" t="n">
        <f aca="false">'Future-State Model'!E24</f>
        <v>2.4157</v>
      </c>
      <c r="H3" s="13" t="n">
        <f aca="false">IF(OR(D3="Tier 2 ($10K-$50K)",D3="Tier 3 (&gt;$50K)"),'Future-State Model'!E25,0)</f>
        <v>0</v>
      </c>
      <c r="I3" s="13" t="n">
        <f aca="false">IF(D3="Tier 3 (&gt;$50K)",'Future-State Model'!E26,0)</f>
        <v>0</v>
      </c>
      <c r="J3" s="31" t="n">
        <f aca="false">'Future-State Model'!E27</f>
        <v>0.686</v>
      </c>
      <c r="K3" s="12" t="n">
        <f aca="false">SUM(F3:J3)</f>
        <v>3.33914186046512</v>
      </c>
      <c r="L3" s="13" t="str">
        <f aca="false">IF(E3="2/10 Net 30","Yes","No")</f>
        <v>No</v>
      </c>
      <c r="M3" s="13" t="str">
        <f aca="false">IF(AND(L3="Yes",(F3+G3+H3+I3)&lt;=10),"Yes","No")</f>
        <v>No</v>
      </c>
      <c r="N3" s="13" t="str">
        <f aca="false">IF(K3&gt;30,"Yes","No")</f>
        <v>No</v>
      </c>
      <c r="O3" s="14" t="n">
        <f aca="false">IF(AND(L3="Yes",'Invoice Sample'!O3="No",M3="Yes"),C3*0.02,0)</f>
        <v>0</v>
      </c>
      <c r="P3" s="14" t="n">
        <f aca="false">IF(AND('Invoice Sample'!P3="Yes",N3="No"),C3*0.015,0)</f>
        <v>0</v>
      </c>
    </row>
    <row r="4" customFormat="false" ht="15" hidden="false" customHeight="false" outlineLevel="0" collapsed="false">
      <c r="A4" s="19" t="str">
        <f aca="false">'Invoice Sample'!A4</f>
        <v>INV-2033</v>
      </c>
      <c r="B4" s="19" t="str">
        <f aca="false">'Invoice Sample'!C4</f>
        <v>One-off</v>
      </c>
      <c r="C4" s="32" t="n">
        <f aca="false">'Invoice Sample'!E4</f>
        <v>29465.85</v>
      </c>
      <c r="D4" s="19" t="str">
        <f aca="false">'Invoice Sample'!M4</f>
        <v>Tier 2 ($10K-$50K)</v>
      </c>
      <c r="E4" s="19" t="str">
        <f aca="false">'Invoice Sample'!F4</f>
        <v>Net 30</v>
      </c>
      <c r="F4" s="31" t="n">
        <f aca="false">IF(B4="Recurring",'Future-State Model'!E22,'Future-State Model'!E23)</f>
        <v>1.57352941176471</v>
      </c>
      <c r="G4" s="31" t="n">
        <f aca="false">'Future-State Model'!E24</f>
        <v>2.4157</v>
      </c>
      <c r="H4" s="31" t="n">
        <f aca="false">IF(OR(D4="Tier 2 ($10K-$50K)",D4="Tier 3 (&gt;$50K)"),'Future-State Model'!E25,0)</f>
        <v>2.06456565656566</v>
      </c>
      <c r="I4" s="13" t="n">
        <f aca="false">IF(D4="Tier 3 (&gt;$50K)",'Future-State Model'!E26,0)</f>
        <v>0</v>
      </c>
      <c r="J4" s="31" t="n">
        <f aca="false">'Future-State Model'!E27</f>
        <v>0.686</v>
      </c>
      <c r="K4" s="12" t="n">
        <f aca="false">SUM(F4:J4)</f>
        <v>6.73979506833036</v>
      </c>
      <c r="L4" s="13" t="str">
        <f aca="false">IF(E4="2/10 Net 30","Yes","No")</f>
        <v>No</v>
      </c>
      <c r="M4" s="13" t="str">
        <f aca="false">IF(AND(L4="Yes",(F4+G4+H4+I4)&lt;=10),"Yes","No")</f>
        <v>No</v>
      </c>
      <c r="N4" s="13" t="str">
        <f aca="false">IF(K4&gt;30,"Yes","No")</f>
        <v>No</v>
      </c>
      <c r="O4" s="14" t="n">
        <f aca="false">IF(AND(L4="Yes",'Invoice Sample'!O4="No",M4="Yes"),C4*0.02,0)</f>
        <v>0</v>
      </c>
      <c r="P4" s="14" t="n">
        <f aca="false">IF(AND('Invoice Sample'!P4="Yes",N4="No"),C4*0.015,0)</f>
        <v>0</v>
      </c>
    </row>
    <row r="5" customFormat="false" ht="15" hidden="false" customHeight="false" outlineLevel="0" collapsed="false">
      <c r="A5" s="19" t="str">
        <f aca="false">'Invoice Sample'!A5</f>
        <v>INV-2034</v>
      </c>
      <c r="B5" s="19" t="str">
        <f aca="false">'Invoice Sample'!C5</f>
        <v>Recurring</v>
      </c>
      <c r="C5" s="32" t="n">
        <f aca="false">'Invoice Sample'!E5</f>
        <v>705.29</v>
      </c>
      <c r="D5" s="19" t="str">
        <f aca="false">'Invoice Sample'!M5</f>
        <v>Tier 1 ($500-$10K)</v>
      </c>
      <c r="E5" s="19" t="str">
        <f aca="false">'Invoice Sample'!F5</f>
        <v>Net 30</v>
      </c>
      <c r="F5" s="31" t="n">
        <f aca="false">IF(B5="Recurring",'Future-State Model'!E22,'Future-State Model'!E23)</f>
        <v>0.237441860465116</v>
      </c>
      <c r="G5" s="31" t="n">
        <f aca="false">'Future-State Model'!E24</f>
        <v>2.4157</v>
      </c>
      <c r="H5" s="13" t="n">
        <f aca="false">IF(OR(D5="Tier 2 ($10K-$50K)",D5="Tier 3 (&gt;$50K)"),'Future-State Model'!E25,0)</f>
        <v>0</v>
      </c>
      <c r="I5" s="13" t="n">
        <f aca="false">IF(D5="Tier 3 (&gt;$50K)",'Future-State Model'!E26,0)</f>
        <v>0</v>
      </c>
      <c r="J5" s="31" t="n">
        <f aca="false">'Future-State Model'!E27</f>
        <v>0.686</v>
      </c>
      <c r="K5" s="12" t="n">
        <f aca="false">SUM(F5:J5)</f>
        <v>3.33914186046512</v>
      </c>
      <c r="L5" s="13" t="str">
        <f aca="false">IF(E5="2/10 Net 30","Yes","No")</f>
        <v>No</v>
      </c>
      <c r="M5" s="13" t="str">
        <f aca="false">IF(AND(L5="Yes",(F5+G5+H5+I5)&lt;=10),"Yes","No")</f>
        <v>No</v>
      </c>
      <c r="N5" s="13" t="str">
        <f aca="false">IF(K5&gt;30,"Yes","No")</f>
        <v>No</v>
      </c>
      <c r="O5" s="14" t="n">
        <f aca="false">IF(AND(L5="Yes",'Invoice Sample'!O5="No",M5="Yes"),C5*0.02,0)</f>
        <v>0</v>
      </c>
      <c r="P5" s="14" t="n">
        <f aca="false">IF(AND('Invoice Sample'!P5="Yes",N5="No"),C5*0.015,0)</f>
        <v>0</v>
      </c>
    </row>
    <row r="6" customFormat="false" ht="15" hidden="false" customHeight="false" outlineLevel="0" collapsed="false">
      <c r="A6" s="19" t="str">
        <f aca="false">'Invoice Sample'!A6</f>
        <v>INV-2035</v>
      </c>
      <c r="B6" s="19" t="str">
        <f aca="false">'Invoice Sample'!C6</f>
        <v>Recurring</v>
      </c>
      <c r="C6" s="32" t="n">
        <f aca="false">'Invoice Sample'!E6</f>
        <v>384.61</v>
      </c>
      <c r="D6" s="19" t="str">
        <f aca="false">'Invoice Sample'!M6</f>
        <v>Tier 0 (&lt;$500)</v>
      </c>
      <c r="E6" s="19" t="str">
        <f aca="false">'Invoice Sample'!F6</f>
        <v>Net 30</v>
      </c>
      <c r="F6" s="31" t="n">
        <f aca="false">IF(B6="Recurring",'Future-State Model'!E22,'Future-State Model'!E23)</f>
        <v>0.237441860465116</v>
      </c>
      <c r="G6" s="31" t="n">
        <f aca="false">'Future-State Model'!E24</f>
        <v>2.4157</v>
      </c>
      <c r="H6" s="13" t="n">
        <f aca="false">IF(OR(D6="Tier 2 ($10K-$50K)",D6="Tier 3 (&gt;$50K)"),'Future-State Model'!E25,0)</f>
        <v>0</v>
      </c>
      <c r="I6" s="13" t="n">
        <f aca="false">IF(D6="Tier 3 (&gt;$50K)",'Future-State Model'!E26,0)</f>
        <v>0</v>
      </c>
      <c r="J6" s="31" t="n">
        <f aca="false">'Future-State Model'!E27</f>
        <v>0.686</v>
      </c>
      <c r="K6" s="12" t="n">
        <f aca="false">SUM(F6:J6)</f>
        <v>3.33914186046512</v>
      </c>
      <c r="L6" s="13" t="str">
        <f aca="false">IF(E6="2/10 Net 30","Yes","No")</f>
        <v>No</v>
      </c>
      <c r="M6" s="13" t="str">
        <f aca="false">IF(AND(L6="Yes",(F6+G6+H6+I6)&lt;=10),"Yes","No")</f>
        <v>No</v>
      </c>
      <c r="N6" s="13" t="str">
        <f aca="false">IF(K6&gt;30,"Yes","No")</f>
        <v>No</v>
      </c>
      <c r="O6" s="14" t="n">
        <f aca="false">IF(AND(L6="Yes",'Invoice Sample'!O6="No",M6="Yes"),C6*0.02,0)</f>
        <v>0</v>
      </c>
      <c r="P6" s="14" t="n">
        <f aca="false">IF(AND('Invoice Sample'!P6="Yes",N6="No"),C6*0.015,0)</f>
        <v>0</v>
      </c>
    </row>
    <row r="7" customFormat="false" ht="15" hidden="false" customHeight="false" outlineLevel="0" collapsed="false">
      <c r="A7" s="19" t="str">
        <f aca="false">'Invoice Sample'!A7</f>
        <v>INV-2036</v>
      </c>
      <c r="B7" s="19" t="str">
        <f aca="false">'Invoice Sample'!C7</f>
        <v>Recurring</v>
      </c>
      <c r="C7" s="32" t="n">
        <f aca="false">'Invoice Sample'!E7</f>
        <v>75964.56</v>
      </c>
      <c r="D7" s="19" t="str">
        <f aca="false">'Invoice Sample'!M7</f>
        <v>Tier 3 (&gt;$50K)</v>
      </c>
      <c r="E7" s="19" t="str">
        <f aca="false">'Invoice Sample'!F7</f>
        <v>Net 30</v>
      </c>
      <c r="F7" s="31" t="n">
        <f aca="false">IF(B7="Recurring",'Future-State Model'!E22,'Future-State Model'!E23)</f>
        <v>0.237441860465116</v>
      </c>
      <c r="G7" s="31" t="n">
        <f aca="false">'Future-State Model'!E24</f>
        <v>2.4157</v>
      </c>
      <c r="H7" s="31" t="n">
        <f aca="false">IF(OR(D7="Tier 2 ($10K-$50K)",D7="Tier 3 (&gt;$50K)"),'Future-State Model'!E25,0)</f>
        <v>2.06456565656566</v>
      </c>
      <c r="I7" s="31" t="n">
        <f aca="false">IF(D7="Tier 3 (&gt;$50K)",'Future-State Model'!E26,0)</f>
        <v>2.43014141414141</v>
      </c>
      <c r="J7" s="31" t="n">
        <f aca="false">'Future-State Model'!E27</f>
        <v>0.686</v>
      </c>
      <c r="K7" s="12" t="n">
        <f aca="false">SUM(F7:J7)</f>
        <v>7.83384893117219</v>
      </c>
      <c r="L7" s="13" t="str">
        <f aca="false">IF(E7="2/10 Net 30","Yes","No")</f>
        <v>No</v>
      </c>
      <c r="M7" s="13" t="str">
        <f aca="false">IF(AND(L7="Yes",(F7+G7+H7+I7)&lt;=10),"Yes","No")</f>
        <v>No</v>
      </c>
      <c r="N7" s="13" t="str">
        <f aca="false">IF(K7&gt;30,"Yes","No")</f>
        <v>No</v>
      </c>
      <c r="O7" s="14" t="n">
        <f aca="false">IF(AND(L7="Yes",'Invoice Sample'!O7="No",M7="Yes"),C7*0.02,0)</f>
        <v>0</v>
      </c>
      <c r="P7" s="14" t="n">
        <f aca="false">IF(AND('Invoice Sample'!P7="Yes",N7="No"),C7*0.015,0)</f>
        <v>0</v>
      </c>
    </row>
    <row r="8" customFormat="false" ht="15" hidden="false" customHeight="false" outlineLevel="0" collapsed="false">
      <c r="A8" s="19" t="str">
        <f aca="false">'Invoice Sample'!A8</f>
        <v>INV-2037</v>
      </c>
      <c r="B8" s="19" t="str">
        <f aca="false">'Invoice Sample'!C8</f>
        <v>Recurring</v>
      </c>
      <c r="C8" s="32" t="n">
        <f aca="false">'Invoice Sample'!E8</f>
        <v>16584.15</v>
      </c>
      <c r="D8" s="19" t="str">
        <f aca="false">'Invoice Sample'!M8</f>
        <v>Tier 2 ($10K-$50K)</v>
      </c>
      <c r="E8" s="19" t="str">
        <f aca="false">'Invoice Sample'!F8</f>
        <v>2/10 Net 30</v>
      </c>
      <c r="F8" s="31" t="n">
        <f aca="false">IF(B8="Recurring",'Future-State Model'!E22,'Future-State Model'!E23)</f>
        <v>0.237441860465116</v>
      </c>
      <c r="G8" s="31" t="n">
        <f aca="false">'Future-State Model'!E24</f>
        <v>2.4157</v>
      </c>
      <c r="H8" s="31" t="n">
        <f aca="false">IF(OR(D8="Tier 2 ($10K-$50K)",D8="Tier 3 (&gt;$50K)"),'Future-State Model'!E25,0)</f>
        <v>2.06456565656566</v>
      </c>
      <c r="I8" s="13" t="n">
        <f aca="false">IF(D8="Tier 3 (&gt;$50K)",'Future-State Model'!E26,0)</f>
        <v>0</v>
      </c>
      <c r="J8" s="31" t="n">
        <f aca="false">'Future-State Model'!E27</f>
        <v>0.686</v>
      </c>
      <c r="K8" s="12" t="n">
        <f aca="false">SUM(F8:J8)</f>
        <v>5.40370751703077</v>
      </c>
      <c r="L8" s="13" t="str">
        <f aca="false">IF(E8="2/10 Net 30","Yes","No")</f>
        <v>Yes</v>
      </c>
      <c r="M8" s="13" t="str">
        <f aca="false">IF(AND(L8="Yes",(F8+G8+H8+I8)&lt;=10),"Yes","No")</f>
        <v>Yes</v>
      </c>
      <c r="N8" s="13" t="str">
        <f aca="false">IF(K8&gt;30,"Yes","No")</f>
        <v>No</v>
      </c>
      <c r="O8" s="14" t="n">
        <f aca="false">IF(AND(L8="Yes",'Invoice Sample'!O8="No",M8="Yes"),C8*0.02,0)</f>
        <v>331.683</v>
      </c>
      <c r="P8" s="14" t="n">
        <f aca="false">IF(AND('Invoice Sample'!P8="Yes",N8="No"),C8*0.015,0)</f>
        <v>0</v>
      </c>
    </row>
    <row r="9" customFormat="false" ht="15" hidden="false" customHeight="false" outlineLevel="0" collapsed="false">
      <c r="A9" s="19" t="str">
        <f aca="false">'Invoice Sample'!A9</f>
        <v>INV-2038</v>
      </c>
      <c r="B9" s="19" t="str">
        <f aca="false">'Invoice Sample'!C9</f>
        <v>One-off</v>
      </c>
      <c r="C9" s="32" t="n">
        <f aca="false">'Invoice Sample'!E9</f>
        <v>22636.85</v>
      </c>
      <c r="D9" s="19" t="str">
        <f aca="false">'Invoice Sample'!M9</f>
        <v>Tier 2 ($10K-$50K)</v>
      </c>
      <c r="E9" s="19" t="str">
        <f aca="false">'Invoice Sample'!F9</f>
        <v>Net 30</v>
      </c>
      <c r="F9" s="31" t="n">
        <f aca="false">IF(B9="Recurring",'Future-State Model'!E22,'Future-State Model'!E23)</f>
        <v>1.57352941176471</v>
      </c>
      <c r="G9" s="31" t="n">
        <f aca="false">'Future-State Model'!E24</f>
        <v>2.4157</v>
      </c>
      <c r="H9" s="31" t="n">
        <f aca="false">IF(OR(D9="Tier 2 ($10K-$50K)",D9="Tier 3 (&gt;$50K)"),'Future-State Model'!E25,0)</f>
        <v>2.06456565656566</v>
      </c>
      <c r="I9" s="13" t="n">
        <f aca="false">IF(D9="Tier 3 (&gt;$50K)",'Future-State Model'!E26,0)</f>
        <v>0</v>
      </c>
      <c r="J9" s="31" t="n">
        <f aca="false">'Future-State Model'!E27</f>
        <v>0.686</v>
      </c>
      <c r="K9" s="12" t="n">
        <f aca="false">SUM(F9:J9)</f>
        <v>6.73979506833036</v>
      </c>
      <c r="L9" s="13" t="str">
        <f aca="false">IF(E9="2/10 Net 30","Yes","No")</f>
        <v>No</v>
      </c>
      <c r="M9" s="13" t="str">
        <f aca="false">IF(AND(L9="Yes",(F9+G9+H9+I9)&lt;=10),"Yes","No")</f>
        <v>No</v>
      </c>
      <c r="N9" s="13" t="str">
        <f aca="false">IF(K9&gt;30,"Yes","No")</f>
        <v>No</v>
      </c>
      <c r="O9" s="14" t="n">
        <f aca="false">IF(AND(L9="Yes",'Invoice Sample'!O9="No",M9="Yes"),C9*0.02,0)</f>
        <v>0</v>
      </c>
      <c r="P9" s="14" t="n">
        <f aca="false">IF(AND('Invoice Sample'!P9="Yes",N9="No"),C9*0.015,0)</f>
        <v>0</v>
      </c>
    </row>
    <row r="10" customFormat="false" ht="15" hidden="false" customHeight="false" outlineLevel="0" collapsed="false">
      <c r="A10" s="19" t="str">
        <f aca="false">'Invoice Sample'!A10</f>
        <v>INV-2039</v>
      </c>
      <c r="B10" s="19" t="str">
        <f aca="false">'Invoice Sample'!C10</f>
        <v>One-off</v>
      </c>
      <c r="C10" s="32" t="n">
        <f aca="false">'Invoice Sample'!E10</f>
        <v>131.44</v>
      </c>
      <c r="D10" s="19" t="str">
        <f aca="false">'Invoice Sample'!M10</f>
        <v>Tier 0 (&lt;$500)</v>
      </c>
      <c r="E10" s="19" t="str">
        <f aca="false">'Invoice Sample'!F10</f>
        <v>Net 30</v>
      </c>
      <c r="F10" s="31" t="n">
        <f aca="false">IF(B10="Recurring",'Future-State Model'!E22,'Future-State Model'!E23)</f>
        <v>1.57352941176471</v>
      </c>
      <c r="G10" s="31" t="n">
        <f aca="false">'Future-State Model'!E24</f>
        <v>2.4157</v>
      </c>
      <c r="H10" s="13" t="n">
        <f aca="false">IF(OR(D10="Tier 2 ($10K-$50K)",D10="Tier 3 (&gt;$50K)"),'Future-State Model'!E25,0)</f>
        <v>0</v>
      </c>
      <c r="I10" s="13" t="n">
        <f aca="false">IF(D10="Tier 3 (&gt;$50K)",'Future-State Model'!E26,0)</f>
        <v>0</v>
      </c>
      <c r="J10" s="31" t="n">
        <f aca="false">'Future-State Model'!E27</f>
        <v>0.686</v>
      </c>
      <c r="K10" s="12" t="n">
        <f aca="false">SUM(F10:J10)</f>
        <v>4.67522941176471</v>
      </c>
      <c r="L10" s="13" t="str">
        <f aca="false">IF(E10="2/10 Net 30","Yes","No")</f>
        <v>No</v>
      </c>
      <c r="M10" s="13" t="str">
        <f aca="false">IF(AND(L10="Yes",(F10+G10+H10+I10)&lt;=10),"Yes","No")</f>
        <v>No</v>
      </c>
      <c r="N10" s="13" t="str">
        <f aca="false">IF(K10&gt;30,"Yes","No")</f>
        <v>No</v>
      </c>
      <c r="O10" s="14" t="n">
        <f aca="false">IF(AND(L10="Yes",'Invoice Sample'!O10="No",M10="Yes"),C10*0.02,0)</f>
        <v>0</v>
      </c>
      <c r="P10" s="14" t="n">
        <f aca="false">IF(AND('Invoice Sample'!P10="Yes",N10="No"),C10*0.015,0)</f>
        <v>0</v>
      </c>
    </row>
    <row r="11" customFormat="false" ht="15" hidden="false" customHeight="false" outlineLevel="0" collapsed="false">
      <c r="A11" s="19" t="str">
        <f aca="false">'Invoice Sample'!A11</f>
        <v>INV-2040</v>
      </c>
      <c r="B11" s="19" t="str">
        <f aca="false">'Invoice Sample'!C11</f>
        <v>One-off</v>
      </c>
      <c r="C11" s="32" t="n">
        <f aca="false">'Invoice Sample'!E11</f>
        <v>3447.76</v>
      </c>
      <c r="D11" s="19" t="str">
        <f aca="false">'Invoice Sample'!M11</f>
        <v>Tier 1 ($500-$10K)</v>
      </c>
      <c r="E11" s="19" t="str">
        <f aca="false">'Invoice Sample'!F11</f>
        <v>Net 30</v>
      </c>
      <c r="F11" s="31" t="n">
        <f aca="false">IF(B11="Recurring",'Future-State Model'!E22,'Future-State Model'!E23)</f>
        <v>1.57352941176471</v>
      </c>
      <c r="G11" s="31" t="n">
        <f aca="false">'Future-State Model'!E24</f>
        <v>2.4157</v>
      </c>
      <c r="H11" s="13" t="n">
        <f aca="false">IF(OR(D11="Tier 2 ($10K-$50K)",D11="Tier 3 (&gt;$50K)"),'Future-State Model'!E25,0)</f>
        <v>0</v>
      </c>
      <c r="I11" s="13" t="n">
        <f aca="false">IF(D11="Tier 3 (&gt;$50K)",'Future-State Model'!E26,0)</f>
        <v>0</v>
      </c>
      <c r="J11" s="31" t="n">
        <f aca="false">'Future-State Model'!E27</f>
        <v>0.686</v>
      </c>
      <c r="K11" s="12" t="n">
        <f aca="false">SUM(F11:J11)</f>
        <v>4.67522941176471</v>
      </c>
      <c r="L11" s="13" t="str">
        <f aca="false">IF(E11="2/10 Net 30","Yes","No")</f>
        <v>No</v>
      </c>
      <c r="M11" s="13" t="str">
        <f aca="false">IF(AND(L11="Yes",(F11+G11+H11+I11)&lt;=10),"Yes","No")</f>
        <v>No</v>
      </c>
      <c r="N11" s="13" t="str">
        <f aca="false">IF(K11&gt;30,"Yes","No")</f>
        <v>No</v>
      </c>
      <c r="O11" s="14" t="n">
        <f aca="false">IF(AND(L11="Yes",'Invoice Sample'!O11="No",M11="Yes"),C11*0.02,0)</f>
        <v>0</v>
      </c>
      <c r="P11" s="14" t="n">
        <f aca="false">IF(AND('Invoice Sample'!P11="Yes",N11="No"),C11*0.015,0)</f>
        <v>0</v>
      </c>
    </row>
    <row r="12" customFormat="false" ht="15" hidden="false" customHeight="false" outlineLevel="0" collapsed="false">
      <c r="A12" s="19" t="str">
        <f aca="false">'Invoice Sample'!A12</f>
        <v>INV-2041</v>
      </c>
      <c r="B12" s="19" t="str">
        <f aca="false">'Invoice Sample'!C12</f>
        <v>Recurring</v>
      </c>
      <c r="C12" s="32" t="n">
        <f aca="false">'Invoice Sample'!E12</f>
        <v>1657.29</v>
      </c>
      <c r="D12" s="19" t="str">
        <f aca="false">'Invoice Sample'!M12</f>
        <v>Tier 1 ($500-$10K)</v>
      </c>
      <c r="E12" s="19" t="str">
        <f aca="false">'Invoice Sample'!F12</f>
        <v>Net 30</v>
      </c>
      <c r="F12" s="31" t="n">
        <f aca="false">IF(B12="Recurring",'Future-State Model'!E22,'Future-State Model'!E23)</f>
        <v>0.237441860465116</v>
      </c>
      <c r="G12" s="31" t="n">
        <f aca="false">'Future-State Model'!E24</f>
        <v>2.4157</v>
      </c>
      <c r="H12" s="13" t="n">
        <f aca="false">IF(OR(D12="Tier 2 ($10K-$50K)",D12="Tier 3 (&gt;$50K)"),'Future-State Model'!E25,0)</f>
        <v>0</v>
      </c>
      <c r="I12" s="13" t="n">
        <f aca="false">IF(D12="Tier 3 (&gt;$50K)",'Future-State Model'!E26,0)</f>
        <v>0</v>
      </c>
      <c r="J12" s="31" t="n">
        <f aca="false">'Future-State Model'!E27</f>
        <v>0.686</v>
      </c>
      <c r="K12" s="12" t="n">
        <f aca="false">SUM(F12:J12)</f>
        <v>3.33914186046512</v>
      </c>
      <c r="L12" s="13" t="str">
        <f aca="false">IF(E12="2/10 Net 30","Yes","No")</f>
        <v>No</v>
      </c>
      <c r="M12" s="13" t="str">
        <f aca="false">IF(AND(L12="Yes",(F12+G12+H12+I12)&lt;=10),"Yes","No")</f>
        <v>No</v>
      </c>
      <c r="N12" s="13" t="str">
        <f aca="false">IF(K12&gt;30,"Yes","No")</f>
        <v>No</v>
      </c>
      <c r="O12" s="14" t="n">
        <f aca="false">IF(AND(L12="Yes",'Invoice Sample'!O12="No",M12="Yes"),C12*0.02,0)</f>
        <v>0</v>
      </c>
      <c r="P12" s="14" t="n">
        <f aca="false">IF(AND('Invoice Sample'!P12="Yes",N12="No"),C12*0.015,0)</f>
        <v>0</v>
      </c>
    </row>
    <row r="13" customFormat="false" ht="15" hidden="false" customHeight="false" outlineLevel="0" collapsed="false">
      <c r="A13" s="19" t="str">
        <f aca="false">'Invoice Sample'!A13</f>
        <v>INV-2042</v>
      </c>
      <c r="B13" s="19" t="str">
        <f aca="false">'Invoice Sample'!C13</f>
        <v>Recurring</v>
      </c>
      <c r="C13" s="32" t="n">
        <f aca="false">'Invoice Sample'!E13</f>
        <v>14950.03</v>
      </c>
      <c r="D13" s="19" t="str">
        <f aca="false">'Invoice Sample'!M13</f>
        <v>Tier 2 ($10K-$50K)</v>
      </c>
      <c r="E13" s="19" t="str">
        <f aca="false">'Invoice Sample'!F13</f>
        <v>Net 30</v>
      </c>
      <c r="F13" s="31" t="n">
        <f aca="false">IF(B13="Recurring",'Future-State Model'!E22,'Future-State Model'!E23)</f>
        <v>0.237441860465116</v>
      </c>
      <c r="G13" s="31" t="n">
        <f aca="false">'Future-State Model'!E24</f>
        <v>2.4157</v>
      </c>
      <c r="H13" s="31" t="n">
        <f aca="false">IF(OR(D13="Tier 2 ($10K-$50K)",D13="Tier 3 (&gt;$50K)"),'Future-State Model'!E25,0)</f>
        <v>2.06456565656566</v>
      </c>
      <c r="I13" s="13" t="n">
        <f aca="false">IF(D13="Tier 3 (&gt;$50K)",'Future-State Model'!E26,0)</f>
        <v>0</v>
      </c>
      <c r="J13" s="31" t="n">
        <f aca="false">'Future-State Model'!E27</f>
        <v>0.686</v>
      </c>
      <c r="K13" s="12" t="n">
        <f aca="false">SUM(F13:J13)</f>
        <v>5.40370751703077</v>
      </c>
      <c r="L13" s="13" t="str">
        <f aca="false">IF(E13="2/10 Net 30","Yes","No")</f>
        <v>No</v>
      </c>
      <c r="M13" s="13" t="str">
        <f aca="false">IF(AND(L13="Yes",(F13+G13+H13+I13)&lt;=10),"Yes","No")</f>
        <v>No</v>
      </c>
      <c r="N13" s="13" t="str">
        <f aca="false">IF(K13&gt;30,"Yes","No")</f>
        <v>No</v>
      </c>
      <c r="O13" s="14" t="n">
        <f aca="false">IF(AND(L13="Yes",'Invoice Sample'!O13="No",M13="Yes"),C13*0.02,0)</f>
        <v>0</v>
      </c>
      <c r="P13" s="14" t="n">
        <f aca="false">IF(AND('Invoice Sample'!P13="Yes",N13="No"),C13*0.015,0)</f>
        <v>0</v>
      </c>
    </row>
    <row r="14" customFormat="false" ht="15" hidden="false" customHeight="false" outlineLevel="0" collapsed="false">
      <c r="A14" s="19" t="str">
        <f aca="false">'Invoice Sample'!A14</f>
        <v>INV-2043</v>
      </c>
      <c r="B14" s="19" t="str">
        <f aca="false">'Invoice Sample'!C14</f>
        <v>Recurring</v>
      </c>
      <c r="C14" s="32" t="n">
        <f aca="false">'Invoice Sample'!E14</f>
        <v>736.14</v>
      </c>
      <c r="D14" s="19" t="str">
        <f aca="false">'Invoice Sample'!M14</f>
        <v>Tier 1 ($500-$10K)</v>
      </c>
      <c r="E14" s="19" t="str">
        <f aca="false">'Invoice Sample'!F14</f>
        <v>Net 30</v>
      </c>
      <c r="F14" s="31" t="n">
        <f aca="false">IF(B14="Recurring",'Future-State Model'!E22,'Future-State Model'!E23)</f>
        <v>0.237441860465116</v>
      </c>
      <c r="G14" s="31" t="n">
        <f aca="false">'Future-State Model'!E24</f>
        <v>2.4157</v>
      </c>
      <c r="H14" s="13" t="n">
        <f aca="false">IF(OR(D14="Tier 2 ($10K-$50K)",D14="Tier 3 (&gt;$50K)"),'Future-State Model'!E25,0)</f>
        <v>0</v>
      </c>
      <c r="I14" s="13" t="n">
        <f aca="false">IF(D14="Tier 3 (&gt;$50K)",'Future-State Model'!E26,0)</f>
        <v>0</v>
      </c>
      <c r="J14" s="31" t="n">
        <f aca="false">'Future-State Model'!E27</f>
        <v>0.686</v>
      </c>
      <c r="K14" s="12" t="n">
        <f aca="false">SUM(F14:J14)</f>
        <v>3.33914186046512</v>
      </c>
      <c r="L14" s="13" t="str">
        <f aca="false">IF(E14="2/10 Net 30","Yes","No")</f>
        <v>No</v>
      </c>
      <c r="M14" s="13" t="str">
        <f aca="false">IF(AND(L14="Yes",(F14+G14+H14+I14)&lt;=10),"Yes","No")</f>
        <v>No</v>
      </c>
      <c r="N14" s="13" t="str">
        <f aca="false">IF(K14&gt;30,"Yes","No")</f>
        <v>No</v>
      </c>
      <c r="O14" s="14" t="n">
        <f aca="false">IF(AND(L14="Yes",'Invoice Sample'!O14="No",M14="Yes"),C14*0.02,0)</f>
        <v>0</v>
      </c>
      <c r="P14" s="14" t="n">
        <f aca="false">IF(AND('Invoice Sample'!P14="Yes",N14="No"),C14*0.015,0)</f>
        <v>0</v>
      </c>
    </row>
    <row r="15" customFormat="false" ht="15" hidden="false" customHeight="false" outlineLevel="0" collapsed="false">
      <c r="A15" s="19" t="str">
        <f aca="false">'Invoice Sample'!A15</f>
        <v>INV-2044</v>
      </c>
      <c r="B15" s="19" t="str">
        <f aca="false">'Invoice Sample'!C15</f>
        <v>Recurring</v>
      </c>
      <c r="C15" s="32" t="n">
        <f aca="false">'Invoice Sample'!E15</f>
        <v>42173.63</v>
      </c>
      <c r="D15" s="19" t="str">
        <f aca="false">'Invoice Sample'!M15</f>
        <v>Tier 2 ($10K-$50K)</v>
      </c>
      <c r="E15" s="19" t="str">
        <f aca="false">'Invoice Sample'!F15</f>
        <v>Net 30</v>
      </c>
      <c r="F15" s="31" t="n">
        <f aca="false">IF(B15="Recurring",'Future-State Model'!E22,'Future-State Model'!E23)</f>
        <v>0.237441860465116</v>
      </c>
      <c r="G15" s="31" t="n">
        <f aca="false">'Future-State Model'!E24</f>
        <v>2.4157</v>
      </c>
      <c r="H15" s="31" t="n">
        <f aca="false">IF(OR(D15="Tier 2 ($10K-$50K)",D15="Tier 3 (&gt;$50K)"),'Future-State Model'!E25,0)</f>
        <v>2.06456565656566</v>
      </c>
      <c r="I15" s="13" t="n">
        <f aca="false">IF(D15="Tier 3 (&gt;$50K)",'Future-State Model'!E26,0)</f>
        <v>0</v>
      </c>
      <c r="J15" s="31" t="n">
        <f aca="false">'Future-State Model'!E27</f>
        <v>0.686</v>
      </c>
      <c r="K15" s="12" t="n">
        <f aca="false">SUM(F15:J15)</f>
        <v>5.40370751703077</v>
      </c>
      <c r="L15" s="13" t="str">
        <f aca="false">IF(E15="2/10 Net 30","Yes","No")</f>
        <v>No</v>
      </c>
      <c r="M15" s="13" t="str">
        <f aca="false">IF(AND(L15="Yes",(F15+G15+H15+I15)&lt;=10),"Yes","No")</f>
        <v>No</v>
      </c>
      <c r="N15" s="13" t="str">
        <f aca="false">IF(K15&gt;30,"Yes","No")</f>
        <v>No</v>
      </c>
      <c r="O15" s="14" t="n">
        <f aca="false">IF(AND(L15="Yes",'Invoice Sample'!O15="No",M15="Yes"),C15*0.02,0)</f>
        <v>0</v>
      </c>
      <c r="P15" s="14" t="n">
        <f aca="false">IF(AND('Invoice Sample'!P15="Yes",N15="No"),C15*0.015,0)</f>
        <v>0</v>
      </c>
    </row>
    <row r="16" customFormat="false" ht="15" hidden="false" customHeight="false" outlineLevel="0" collapsed="false">
      <c r="A16" s="19" t="str">
        <f aca="false">'Invoice Sample'!A16</f>
        <v>INV-2045</v>
      </c>
      <c r="B16" s="19" t="str">
        <f aca="false">'Invoice Sample'!C16</f>
        <v>Recurring</v>
      </c>
      <c r="C16" s="32" t="n">
        <f aca="false">'Invoice Sample'!E16</f>
        <v>6256.54</v>
      </c>
      <c r="D16" s="19" t="str">
        <f aca="false">'Invoice Sample'!M16</f>
        <v>Tier 1 ($500-$10K)</v>
      </c>
      <c r="E16" s="19" t="str">
        <f aca="false">'Invoice Sample'!F16</f>
        <v>Net 30</v>
      </c>
      <c r="F16" s="31" t="n">
        <f aca="false">IF(B16="Recurring",'Future-State Model'!E22,'Future-State Model'!E23)</f>
        <v>0.237441860465116</v>
      </c>
      <c r="G16" s="31" t="n">
        <f aca="false">'Future-State Model'!E24</f>
        <v>2.4157</v>
      </c>
      <c r="H16" s="13" t="n">
        <f aca="false">IF(OR(D16="Tier 2 ($10K-$50K)",D16="Tier 3 (&gt;$50K)"),'Future-State Model'!E25,0)</f>
        <v>0</v>
      </c>
      <c r="I16" s="13" t="n">
        <f aca="false">IF(D16="Tier 3 (&gt;$50K)",'Future-State Model'!E26,0)</f>
        <v>0</v>
      </c>
      <c r="J16" s="31" t="n">
        <f aca="false">'Future-State Model'!E27</f>
        <v>0.686</v>
      </c>
      <c r="K16" s="12" t="n">
        <f aca="false">SUM(F16:J16)</f>
        <v>3.33914186046512</v>
      </c>
      <c r="L16" s="13" t="str">
        <f aca="false">IF(E16="2/10 Net 30","Yes","No")</f>
        <v>No</v>
      </c>
      <c r="M16" s="13" t="str">
        <f aca="false">IF(AND(L16="Yes",(F16+G16+H16+I16)&lt;=10),"Yes","No")</f>
        <v>No</v>
      </c>
      <c r="N16" s="13" t="str">
        <f aca="false">IF(K16&gt;30,"Yes","No")</f>
        <v>No</v>
      </c>
      <c r="O16" s="14" t="n">
        <f aca="false">IF(AND(L16="Yes",'Invoice Sample'!O16="No",M16="Yes"),C16*0.02,0)</f>
        <v>0</v>
      </c>
      <c r="P16" s="14" t="n">
        <f aca="false">IF(AND('Invoice Sample'!P16="Yes",N16="No"),C16*0.015,0)</f>
        <v>0</v>
      </c>
    </row>
    <row r="17" customFormat="false" ht="15" hidden="false" customHeight="false" outlineLevel="0" collapsed="false">
      <c r="A17" s="19" t="str">
        <f aca="false">'Invoice Sample'!A17</f>
        <v>INV-2046</v>
      </c>
      <c r="B17" s="19" t="str">
        <f aca="false">'Invoice Sample'!C17</f>
        <v>Recurring</v>
      </c>
      <c r="C17" s="32" t="n">
        <f aca="false">'Invoice Sample'!E17</f>
        <v>2748.06</v>
      </c>
      <c r="D17" s="19" t="str">
        <f aca="false">'Invoice Sample'!M17</f>
        <v>Tier 1 ($500-$10K)</v>
      </c>
      <c r="E17" s="19" t="str">
        <f aca="false">'Invoice Sample'!F17</f>
        <v>Net 30</v>
      </c>
      <c r="F17" s="31" t="n">
        <f aca="false">IF(B17="Recurring",'Future-State Model'!E22,'Future-State Model'!E23)</f>
        <v>0.237441860465116</v>
      </c>
      <c r="G17" s="31" t="n">
        <f aca="false">'Future-State Model'!E24</f>
        <v>2.4157</v>
      </c>
      <c r="H17" s="13" t="n">
        <f aca="false">IF(OR(D17="Tier 2 ($10K-$50K)",D17="Tier 3 (&gt;$50K)"),'Future-State Model'!E25,0)</f>
        <v>0</v>
      </c>
      <c r="I17" s="13" t="n">
        <f aca="false">IF(D17="Tier 3 (&gt;$50K)",'Future-State Model'!E26,0)</f>
        <v>0</v>
      </c>
      <c r="J17" s="31" t="n">
        <f aca="false">'Future-State Model'!E27</f>
        <v>0.686</v>
      </c>
      <c r="K17" s="12" t="n">
        <f aca="false">SUM(F17:J17)</f>
        <v>3.33914186046512</v>
      </c>
      <c r="L17" s="13" t="str">
        <f aca="false">IF(E17="2/10 Net 30","Yes","No")</f>
        <v>No</v>
      </c>
      <c r="M17" s="13" t="str">
        <f aca="false">IF(AND(L17="Yes",(F17+G17+H17+I17)&lt;=10),"Yes","No")</f>
        <v>No</v>
      </c>
      <c r="N17" s="13" t="str">
        <f aca="false">IF(K17&gt;30,"Yes","No")</f>
        <v>No</v>
      </c>
      <c r="O17" s="14" t="n">
        <f aca="false">IF(AND(L17="Yes",'Invoice Sample'!O17="No",M17="Yes"),C17*0.02,0)</f>
        <v>0</v>
      </c>
      <c r="P17" s="14" t="n">
        <f aca="false">IF(AND('Invoice Sample'!P17="Yes",N17="No"),C17*0.015,0)</f>
        <v>0</v>
      </c>
    </row>
    <row r="18" customFormat="false" ht="15" hidden="false" customHeight="false" outlineLevel="0" collapsed="false">
      <c r="A18" s="19" t="str">
        <f aca="false">'Invoice Sample'!A18</f>
        <v>INV-2047</v>
      </c>
      <c r="B18" s="19" t="str">
        <f aca="false">'Invoice Sample'!C18</f>
        <v>One-off</v>
      </c>
      <c r="C18" s="32" t="n">
        <f aca="false">'Invoice Sample'!E18</f>
        <v>1866.64</v>
      </c>
      <c r="D18" s="19" t="str">
        <f aca="false">'Invoice Sample'!M18</f>
        <v>Tier 1 ($500-$10K)</v>
      </c>
      <c r="E18" s="19" t="str">
        <f aca="false">'Invoice Sample'!F18</f>
        <v>Net 30</v>
      </c>
      <c r="F18" s="31" t="n">
        <f aca="false">IF(B18="Recurring",'Future-State Model'!E22,'Future-State Model'!E23)</f>
        <v>1.57352941176471</v>
      </c>
      <c r="G18" s="31" t="n">
        <f aca="false">'Future-State Model'!E24</f>
        <v>2.4157</v>
      </c>
      <c r="H18" s="13" t="n">
        <f aca="false">IF(OR(D18="Tier 2 ($10K-$50K)",D18="Tier 3 (&gt;$50K)"),'Future-State Model'!E25,0)</f>
        <v>0</v>
      </c>
      <c r="I18" s="13" t="n">
        <f aca="false">IF(D18="Tier 3 (&gt;$50K)",'Future-State Model'!E26,0)</f>
        <v>0</v>
      </c>
      <c r="J18" s="31" t="n">
        <f aca="false">'Future-State Model'!E27</f>
        <v>0.686</v>
      </c>
      <c r="K18" s="12" t="n">
        <f aca="false">SUM(F18:J18)</f>
        <v>4.67522941176471</v>
      </c>
      <c r="L18" s="13" t="str">
        <f aca="false">IF(E18="2/10 Net 30","Yes","No")</f>
        <v>No</v>
      </c>
      <c r="M18" s="13" t="str">
        <f aca="false">IF(AND(L18="Yes",(F18+G18+H18+I18)&lt;=10),"Yes","No")</f>
        <v>No</v>
      </c>
      <c r="N18" s="13" t="str">
        <f aca="false">IF(K18&gt;30,"Yes","No")</f>
        <v>No</v>
      </c>
      <c r="O18" s="14" t="n">
        <f aca="false">IF(AND(L18="Yes",'Invoice Sample'!O18="No",M18="Yes"),C18*0.02,0)</f>
        <v>0</v>
      </c>
      <c r="P18" s="14" t="n">
        <f aca="false">IF(AND('Invoice Sample'!P18="Yes",N18="No"),C18*0.015,0)</f>
        <v>0</v>
      </c>
    </row>
    <row r="19" customFormat="false" ht="15" hidden="false" customHeight="false" outlineLevel="0" collapsed="false">
      <c r="A19" s="19" t="str">
        <f aca="false">'Invoice Sample'!A19</f>
        <v>INV-2048</v>
      </c>
      <c r="B19" s="19" t="str">
        <f aca="false">'Invoice Sample'!C19</f>
        <v>Recurring</v>
      </c>
      <c r="C19" s="32" t="n">
        <f aca="false">'Invoice Sample'!E19</f>
        <v>102.37</v>
      </c>
      <c r="D19" s="19" t="str">
        <f aca="false">'Invoice Sample'!M19</f>
        <v>Tier 0 (&lt;$500)</v>
      </c>
      <c r="E19" s="19" t="str">
        <f aca="false">'Invoice Sample'!F19</f>
        <v>Net 30</v>
      </c>
      <c r="F19" s="31" t="n">
        <f aca="false">IF(B19="Recurring",'Future-State Model'!E22,'Future-State Model'!E23)</f>
        <v>0.237441860465116</v>
      </c>
      <c r="G19" s="31" t="n">
        <f aca="false">'Future-State Model'!E24</f>
        <v>2.4157</v>
      </c>
      <c r="H19" s="13" t="n">
        <f aca="false">IF(OR(D19="Tier 2 ($10K-$50K)",D19="Tier 3 (&gt;$50K)"),'Future-State Model'!E25,0)</f>
        <v>0</v>
      </c>
      <c r="I19" s="13" t="n">
        <f aca="false">IF(D19="Tier 3 (&gt;$50K)",'Future-State Model'!E26,0)</f>
        <v>0</v>
      </c>
      <c r="J19" s="31" t="n">
        <f aca="false">'Future-State Model'!E27</f>
        <v>0.686</v>
      </c>
      <c r="K19" s="12" t="n">
        <f aca="false">SUM(F19:J19)</f>
        <v>3.33914186046512</v>
      </c>
      <c r="L19" s="13" t="str">
        <f aca="false">IF(E19="2/10 Net 30","Yes","No")</f>
        <v>No</v>
      </c>
      <c r="M19" s="13" t="str">
        <f aca="false">IF(AND(L19="Yes",(F19+G19+H19+I19)&lt;=10),"Yes","No")</f>
        <v>No</v>
      </c>
      <c r="N19" s="13" t="str">
        <f aca="false">IF(K19&gt;30,"Yes","No")</f>
        <v>No</v>
      </c>
      <c r="O19" s="14" t="n">
        <f aca="false">IF(AND(L19="Yes",'Invoice Sample'!O19="No",M19="Yes"),C19*0.02,0)</f>
        <v>0</v>
      </c>
      <c r="P19" s="14" t="n">
        <f aca="false">IF(AND('Invoice Sample'!P19="Yes",N19="No"),C19*0.015,0)</f>
        <v>0</v>
      </c>
    </row>
    <row r="20" customFormat="false" ht="15" hidden="false" customHeight="false" outlineLevel="0" collapsed="false">
      <c r="A20" s="19" t="str">
        <f aca="false">'Invoice Sample'!A20</f>
        <v>INV-2049</v>
      </c>
      <c r="B20" s="19" t="str">
        <f aca="false">'Invoice Sample'!C20</f>
        <v>Recurring</v>
      </c>
      <c r="C20" s="32" t="n">
        <f aca="false">'Invoice Sample'!E20</f>
        <v>44044.41</v>
      </c>
      <c r="D20" s="19" t="str">
        <f aca="false">'Invoice Sample'!M20</f>
        <v>Tier 2 ($10K-$50K)</v>
      </c>
      <c r="E20" s="19" t="str">
        <f aca="false">'Invoice Sample'!F20</f>
        <v>2/10 Net 30</v>
      </c>
      <c r="F20" s="31" t="n">
        <f aca="false">IF(B20="Recurring",'Future-State Model'!E22,'Future-State Model'!E23)</f>
        <v>0.237441860465116</v>
      </c>
      <c r="G20" s="31" t="n">
        <f aca="false">'Future-State Model'!E24</f>
        <v>2.4157</v>
      </c>
      <c r="H20" s="31" t="n">
        <f aca="false">IF(OR(D20="Tier 2 ($10K-$50K)",D20="Tier 3 (&gt;$50K)"),'Future-State Model'!E25,0)</f>
        <v>2.06456565656566</v>
      </c>
      <c r="I20" s="13" t="n">
        <f aca="false">IF(D20="Tier 3 (&gt;$50K)",'Future-State Model'!E26,0)</f>
        <v>0</v>
      </c>
      <c r="J20" s="31" t="n">
        <f aca="false">'Future-State Model'!E27</f>
        <v>0.686</v>
      </c>
      <c r="K20" s="12" t="n">
        <f aca="false">SUM(F20:J20)</f>
        <v>5.40370751703077</v>
      </c>
      <c r="L20" s="13" t="str">
        <f aca="false">IF(E20="2/10 Net 30","Yes","No")</f>
        <v>Yes</v>
      </c>
      <c r="M20" s="13" t="str">
        <f aca="false">IF(AND(L20="Yes",(F20+G20+H20+I20)&lt;=10),"Yes","No")</f>
        <v>Yes</v>
      </c>
      <c r="N20" s="13" t="str">
        <f aca="false">IF(K20&gt;30,"Yes","No")</f>
        <v>No</v>
      </c>
      <c r="O20" s="14" t="n">
        <f aca="false">IF(AND(L20="Yes",'Invoice Sample'!O20="No",M20="Yes"),C20*0.02,0)</f>
        <v>880.8882</v>
      </c>
      <c r="P20" s="14" t="n">
        <f aca="false">IF(AND('Invoice Sample'!P20="Yes",N20="No"),C20*0.015,0)</f>
        <v>0</v>
      </c>
    </row>
    <row r="21" customFormat="false" ht="15" hidden="false" customHeight="false" outlineLevel="0" collapsed="false">
      <c r="A21" s="19" t="str">
        <f aca="false">'Invoice Sample'!A21</f>
        <v>INV-2050</v>
      </c>
      <c r="B21" s="19" t="str">
        <f aca="false">'Invoice Sample'!C21</f>
        <v>Recurring</v>
      </c>
      <c r="C21" s="32" t="n">
        <f aca="false">'Invoice Sample'!E21</f>
        <v>1465.78</v>
      </c>
      <c r="D21" s="19" t="str">
        <f aca="false">'Invoice Sample'!M21</f>
        <v>Tier 1 ($500-$10K)</v>
      </c>
      <c r="E21" s="19" t="str">
        <f aca="false">'Invoice Sample'!F21</f>
        <v>Net 30</v>
      </c>
      <c r="F21" s="31" t="n">
        <f aca="false">IF(B21="Recurring",'Future-State Model'!E22,'Future-State Model'!E23)</f>
        <v>0.237441860465116</v>
      </c>
      <c r="G21" s="31" t="n">
        <f aca="false">'Future-State Model'!E24</f>
        <v>2.4157</v>
      </c>
      <c r="H21" s="13" t="n">
        <f aca="false">IF(OR(D21="Tier 2 ($10K-$50K)",D21="Tier 3 (&gt;$50K)"),'Future-State Model'!E25,0)</f>
        <v>0</v>
      </c>
      <c r="I21" s="13" t="n">
        <f aca="false">IF(D21="Tier 3 (&gt;$50K)",'Future-State Model'!E26,0)</f>
        <v>0</v>
      </c>
      <c r="J21" s="31" t="n">
        <f aca="false">'Future-State Model'!E27</f>
        <v>0.686</v>
      </c>
      <c r="K21" s="12" t="n">
        <f aca="false">SUM(F21:J21)</f>
        <v>3.33914186046512</v>
      </c>
      <c r="L21" s="13" t="str">
        <f aca="false">IF(E21="2/10 Net 30","Yes","No")</f>
        <v>No</v>
      </c>
      <c r="M21" s="13" t="str">
        <f aca="false">IF(AND(L21="Yes",(F21+G21+H21+I21)&lt;=10),"Yes","No")</f>
        <v>No</v>
      </c>
      <c r="N21" s="13" t="str">
        <f aca="false">IF(K21&gt;30,"Yes","No")</f>
        <v>No</v>
      </c>
      <c r="O21" s="14" t="n">
        <f aca="false">IF(AND(L21="Yes",'Invoice Sample'!O21="No",M21="Yes"),C21*0.02,0)</f>
        <v>0</v>
      </c>
      <c r="P21" s="14" t="n">
        <f aca="false">IF(AND('Invoice Sample'!P21="Yes",N21="No"),C21*0.015,0)</f>
        <v>0</v>
      </c>
    </row>
    <row r="22" customFormat="false" ht="15" hidden="false" customHeight="false" outlineLevel="0" collapsed="false">
      <c r="A22" s="19" t="str">
        <f aca="false">'Invoice Sample'!A22</f>
        <v>INV-2051</v>
      </c>
      <c r="B22" s="19" t="str">
        <f aca="false">'Invoice Sample'!C22</f>
        <v>One-off</v>
      </c>
      <c r="C22" s="32" t="n">
        <f aca="false">'Invoice Sample'!E22</f>
        <v>41178.32</v>
      </c>
      <c r="D22" s="19" t="str">
        <f aca="false">'Invoice Sample'!M22</f>
        <v>Tier 2 ($10K-$50K)</v>
      </c>
      <c r="E22" s="19" t="str">
        <f aca="false">'Invoice Sample'!F22</f>
        <v>Net 30</v>
      </c>
      <c r="F22" s="31" t="n">
        <f aca="false">IF(B22="Recurring",'Future-State Model'!E22,'Future-State Model'!E23)</f>
        <v>1.57352941176471</v>
      </c>
      <c r="G22" s="31" t="n">
        <f aca="false">'Future-State Model'!E24</f>
        <v>2.4157</v>
      </c>
      <c r="H22" s="31" t="n">
        <f aca="false">IF(OR(D22="Tier 2 ($10K-$50K)",D22="Tier 3 (&gt;$50K)"),'Future-State Model'!E25,0)</f>
        <v>2.06456565656566</v>
      </c>
      <c r="I22" s="13" t="n">
        <f aca="false">IF(D22="Tier 3 (&gt;$50K)",'Future-State Model'!E26,0)</f>
        <v>0</v>
      </c>
      <c r="J22" s="31" t="n">
        <f aca="false">'Future-State Model'!E27</f>
        <v>0.686</v>
      </c>
      <c r="K22" s="12" t="n">
        <f aca="false">SUM(F22:J22)</f>
        <v>6.73979506833036</v>
      </c>
      <c r="L22" s="13" t="str">
        <f aca="false">IF(E22="2/10 Net 30","Yes","No")</f>
        <v>No</v>
      </c>
      <c r="M22" s="13" t="str">
        <f aca="false">IF(AND(L22="Yes",(F22+G22+H22+I22)&lt;=10),"Yes","No")</f>
        <v>No</v>
      </c>
      <c r="N22" s="13" t="str">
        <f aca="false">IF(K22&gt;30,"Yes","No")</f>
        <v>No</v>
      </c>
      <c r="O22" s="14" t="n">
        <f aca="false">IF(AND(L22="Yes",'Invoice Sample'!O22="No",M22="Yes"),C22*0.02,0)</f>
        <v>0</v>
      </c>
      <c r="P22" s="14" t="n">
        <f aca="false">IF(AND('Invoice Sample'!P22="Yes",N22="No"),C22*0.015,0)</f>
        <v>0</v>
      </c>
    </row>
    <row r="23" customFormat="false" ht="15" hidden="false" customHeight="false" outlineLevel="0" collapsed="false">
      <c r="A23" s="19" t="str">
        <f aca="false">'Invoice Sample'!A23</f>
        <v>INV-2052</v>
      </c>
      <c r="B23" s="19" t="str">
        <f aca="false">'Invoice Sample'!C23</f>
        <v>Recurring</v>
      </c>
      <c r="C23" s="32" t="n">
        <f aca="false">'Invoice Sample'!E23</f>
        <v>6575.21</v>
      </c>
      <c r="D23" s="19" t="str">
        <f aca="false">'Invoice Sample'!M23</f>
        <v>Tier 1 ($500-$10K)</v>
      </c>
      <c r="E23" s="19" t="str">
        <f aca="false">'Invoice Sample'!F23</f>
        <v>2/10 Net 30</v>
      </c>
      <c r="F23" s="31" t="n">
        <f aca="false">IF(B23="Recurring",'Future-State Model'!E22,'Future-State Model'!E23)</f>
        <v>0.237441860465116</v>
      </c>
      <c r="G23" s="31" t="n">
        <f aca="false">'Future-State Model'!E24</f>
        <v>2.4157</v>
      </c>
      <c r="H23" s="13" t="n">
        <f aca="false">IF(OR(D23="Tier 2 ($10K-$50K)",D23="Tier 3 (&gt;$50K)"),'Future-State Model'!E25,0)</f>
        <v>0</v>
      </c>
      <c r="I23" s="13" t="n">
        <f aca="false">IF(D23="Tier 3 (&gt;$50K)",'Future-State Model'!E26,0)</f>
        <v>0</v>
      </c>
      <c r="J23" s="31" t="n">
        <f aca="false">'Future-State Model'!E27</f>
        <v>0.686</v>
      </c>
      <c r="K23" s="12" t="n">
        <f aca="false">SUM(F23:J23)</f>
        <v>3.33914186046512</v>
      </c>
      <c r="L23" s="13" t="str">
        <f aca="false">IF(E23="2/10 Net 30","Yes","No")</f>
        <v>Yes</v>
      </c>
      <c r="M23" s="13" t="str">
        <f aca="false">IF(AND(L23="Yes",(F23+G23+H23+I23)&lt;=10),"Yes","No")</f>
        <v>Yes</v>
      </c>
      <c r="N23" s="13" t="str">
        <f aca="false">IF(K23&gt;30,"Yes","No")</f>
        <v>No</v>
      </c>
      <c r="O23" s="14" t="n">
        <f aca="false">IF(AND(L23="Yes",'Invoice Sample'!O23="No",M23="Yes"),C23*0.02,0)</f>
        <v>131.5042</v>
      </c>
      <c r="P23" s="14" t="n">
        <f aca="false">IF(AND('Invoice Sample'!P23="Yes",N23="No"),C23*0.015,0)</f>
        <v>0</v>
      </c>
    </row>
    <row r="24" customFormat="false" ht="15" hidden="false" customHeight="false" outlineLevel="0" collapsed="false">
      <c r="A24" s="19" t="str">
        <f aca="false">'Invoice Sample'!A24</f>
        <v>INV-2053</v>
      </c>
      <c r="B24" s="19" t="str">
        <f aca="false">'Invoice Sample'!C24</f>
        <v>Recurring</v>
      </c>
      <c r="C24" s="32" t="n">
        <f aca="false">'Invoice Sample'!E24</f>
        <v>76562.49</v>
      </c>
      <c r="D24" s="19" t="str">
        <f aca="false">'Invoice Sample'!M24</f>
        <v>Tier 3 (&gt;$50K)</v>
      </c>
      <c r="E24" s="19" t="str">
        <f aca="false">'Invoice Sample'!F24</f>
        <v>Net 30</v>
      </c>
      <c r="F24" s="31" t="n">
        <f aca="false">IF(B24="Recurring",'Future-State Model'!E22,'Future-State Model'!E23)</f>
        <v>0.237441860465116</v>
      </c>
      <c r="G24" s="31" t="n">
        <f aca="false">'Future-State Model'!E24</f>
        <v>2.4157</v>
      </c>
      <c r="H24" s="31" t="n">
        <f aca="false">IF(OR(D24="Tier 2 ($10K-$50K)",D24="Tier 3 (&gt;$50K)"),'Future-State Model'!E25,0)</f>
        <v>2.06456565656566</v>
      </c>
      <c r="I24" s="31" t="n">
        <f aca="false">IF(D24="Tier 3 (&gt;$50K)",'Future-State Model'!E26,0)</f>
        <v>2.43014141414141</v>
      </c>
      <c r="J24" s="31" t="n">
        <f aca="false">'Future-State Model'!E27</f>
        <v>0.686</v>
      </c>
      <c r="K24" s="12" t="n">
        <f aca="false">SUM(F24:J24)</f>
        <v>7.83384893117219</v>
      </c>
      <c r="L24" s="13" t="str">
        <f aca="false">IF(E24="2/10 Net 30","Yes","No")</f>
        <v>No</v>
      </c>
      <c r="M24" s="13" t="str">
        <f aca="false">IF(AND(L24="Yes",(F24+G24+H24+I24)&lt;=10),"Yes","No")</f>
        <v>No</v>
      </c>
      <c r="N24" s="13" t="str">
        <f aca="false">IF(K24&gt;30,"Yes","No")</f>
        <v>No</v>
      </c>
      <c r="O24" s="14" t="n">
        <f aca="false">IF(AND(L24="Yes",'Invoice Sample'!O24="No",M24="Yes"),C24*0.02,0)</f>
        <v>0</v>
      </c>
      <c r="P24" s="14" t="n">
        <f aca="false">IF(AND('Invoice Sample'!P24="Yes",N24="No"),C24*0.015,0)</f>
        <v>0</v>
      </c>
    </row>
    <row r="25" customFormat="false" ht="15" hidden="false" customHeight="false" outlineLevel="0" collapsed="false">
      <c r="A25" s="19" t="str">
        <f aca="false">'Invoice Sample'!A25</f>
        <v>INV-2054</v>
      </c>
      <c r="B25" s="19" t="str">
        <f aca="false">'Invoice Sample'!C25</f>
        <v>Recurring</v>
      </c>
      <c r="C25" s="32" t="n">
        <f aca="false">'Invoice Sample'!E25</f>
        <v>36102.84</v>
      </c>
      <c r="D25" s="19" t="str">
        <f aca="false">'Invoice Sample'!M25</f>
        <v>Tier 2 ($10K-$50K)</v>
      </c>
      <c r="E25" s="19" t="str">
        <f aca="false">'Invoice Sample'!F25</f>
        <v>Net 30</v>
      </c>
      <c r="F25" s="31" t="n">
        <f aca="false">IF(B25="Recurring",'Future-State Model'!E22,'Future-State Model'!E23)</f>
        <v>0.237441860465116</v>
      </c>
      <c r="G25" s="31" t="n">
        <f aca="false">'Future-State Model'!E24</f>
        <v>2.4157</v>
      </c>
      <c r="H25" s="31" t="n">
        <f aca="false">IF(OR(D25="Tier 2 ($10K-$50K)",D25="Tier 3 (&gt;$50K)"),'Future-State Model'!E25,0)</f>
        <v>2.06456565656566</v>
      </c>
      <c r="I25" s="13" t="n">
        <f aca="false">IF(D25="Tier 3 (&gt;$50K)",'Future-State Model'!E26,0)</f>
        <v>0</v>
      </c>
      <c r="J25" s="31" t="n">
        <f aca="false">'Future-State Model'!E27</f>
        <v>0.686</v>
      </c>
      <c r="K25" s="12" t="n">
        <f aca="false">SUM(F25:J25)</f>
        <v>5.40370751703077</v>
      </c>
      <c r="L25" s="13" t="str">
        <f aca="false">IF(E25="2/10 Net 30","Yes","No")</f>
        <v>No</v>
      </c>
      <c r="M25" s="13" t="str">
        <f aca="false">IF(AND(L25="Yes",(F25+G25+H25+I25)&lt;=10),"Yes","No")</f>
        <v>No</v>
      </c>
      <c r="N25" s="13" t="str">
        <f aca="false">IF(K25&gt;30,"Yes","No")</f>
        <v>No</v>
      </c>
      <c r="O25" s="14" t="n">
        <f aca="false">IF(AND(L25="Yes",'Invoice Sample'!O25="No",M25="Yes"),C25*0.02,0)</f>
        <v>0</v>
      </c>
      <c r="P25" s="14" t="n">
        <f aca="false">IF(AND('Invoice Sample'!P25="Yes",N25="No"),C25*0.015,0)</f>
        <v>0</v>
      </c>
    </row>
    <row r="26" customFormat="false" ht="15" hidden="false" customHeight="false" outlineLevel="0" collapsed="false">
      <c r="A26" s="19" t="str">
        <f aca="false">'Invoice Sample'!A26</f>
        <v>INV-2055</v>
      </c>
      <c r="B26" s="19" t="str">
        <f aca="false">'Invoice Sample'!C26</f>
        <v>Recurring</v>
      </c>
      <c r="C26" s="32" t="n">
        <f aca="false">'Invoice Sample'!E26</f>
        <v>15283.98</v>
      </c>
      <c r="D26" s="19" t="str">
        <f aca="false">'Invoice Sample'!M26</f>
        <v>Tier 2 ($10K-$50K)</v>
      </c>
      <c r="E26" s="19" t="str">
        <f aca="false">'Invoice Sample'!F26</f>
        <v>Net 30</v>
      </c>
      <c r="F26" s="31" t="n">
        <f aca="false">IF(B26="Recurring",'Future-State Model'!E22,'Future-State Model'!E23)</f>
        <v>0.237441860465116</v>
      </c>
      <c r="G26" s="31" t="n">
        <f aca="false">'Future-State Model'!E24</f>
        <v>2.4157</v>
      </c>
      <c r="H26" s="31" t="n">
        <f aca="false">IF(OR(D26="Tier 2 ($10K-$50K)",D26="Tier 3 (&gt;$50K)"),'Future-State Model'!E25,0)</f>
        <v>2.06456565656566</v>
      </c>
      <c r="I26" s="13" t="n">
        <f aca="false">IF(D26="Tier 3 (&gt;$50K)",'Future-State Model'!E26,0)</f>
        <v>0</v>
      </c>
      <c r="J26" s="31" t="n">
        <f aca="false">'Future-State Model'!E27</f>
        <v>0.686</v>
      </c>
      <c r="K26" s="12" t="n">
        <f aca="false">SUM(F26:J26)</f>
        <v>5.40370751703077</v>
      </c>
      <c r="L26" s="13" t="str">
        <f aca="false">IF(E26="2/10 Net 30","Yes","No")</f>
        <v>No</v>
      </c>
      <c r="M26" s="13" t="str">
        <f aca="false">IF(AND(L26="Yes",(F26+G26+H26+I26)&lt;=10),"Yes","No")</f>
        <v>No</v>
      </c>
      <c r="N26" s="13" t="str">
        <f aca="false">IF(K26&gt;30,"Yes","No")</f>
        <v>No</v>
      </c>
      <c r="O26" s="14" t="n">
        <f aca="false">IF(AND(L26="Yes",'Invoice Sample'!O26="No",M26="Yes"),C26*0.02,0)</f>
        <v>0</v>
      </c>
      <c r="P26" s="14" t="n">
        <f aca="false">IF(AND('Invoice Sample'!P26="Yes",N26="No"),C26*0.015,0)</f>
        <v>0</v>
      </c>
    </row>
    <row r="27" customFormat="false" ht="15" hidden="false" customHeight="false" outlineLevel="0" collapsed="false">
      <c r="A27" s="19" t="str">
        <f aca="false">'Invoice Sample'!A27</f>
        <v>INV-2056</v>
      </c>
      <c r="B27" s="19" t="str">
        <f aca="false">'Invoice Sample'!C27</f>
        <v>One-off</v>
      </c>
      <c r="C27" s="32" t="n">
        <f aca="false">'Invoice Sample'!E27</f>
        <v>6139.39</v>
      </c>
      <c r="D27" s="19" t="str">
        <f aca="false">'Invoice Sample'!M27</f>
        <v>Tier 1 ($500-$10K)</v>
      </c>
      <c r="E27" s="19" t="str">
        <f aca="false">'Invoice Sample'!F27</f>
        <v>Net 30</v>
      </c>
      <c r="F27" s="31" t="n">
        <f aca="false">IF(B27="Recurring",'Future-State Model'!E22,'Future-State Model'!E23)</f>
        <v>1.57352941176471</v>
      </c>
      <c r="G27" s="31" t="n">
        <f aca="false">'Future-State Model'!E24</f>
        <v>2.4157</v>
      </c>
      <c r="H27" s="13" t="n">
        <f aca="false">IF(OR(D27="Tier 2 ($10K-$50K)",D27="Tier 3 (&gt;$50K)"),'Future-State Model'!E25,0)</f>
        <v>0</v>
      </c>
      <c r="I27" s="13" t="n">
        <f aca="false">IF(D27="Tier 3 (&gt;$50K)",'Future-State Model'!E26,0)</f>
        <v>0</v>
      </c>
      <c r="J27" s="31" t="n">
        <f aca="false">'Future-State Model'!E27</f>
        <v>0.686</v>
      </c>
      <c r="K27" s="12" t="n">
        <f aca="false">SUM(F27:J27)</f>
        <v>4.67522941176471</v>
      </c>
      <c r="L27" s="13" t="str">
        <f aca="false">IF(E27="2/10 Net 30","Yes","No")</f>
        <v>No</v>
      </c>
      <c r="M27" s="13" t="str">
        <f aca="false">IF(AND(L27="Yes",(F27+G27+H27+I27)&lt;=10),"Yes","No")</f>
        <v>No</v>
      </c>
      <c r="N27" s="13" t="str">
        <f aca="false">IF(K27&gt;30,"Yes","No")</f>
        <v>No</v>
      </c>
      <c r="O27" s="14" t="n">
        <f aca="false">IF(AND(L27="Yes",'Invoice Sample'!O27="No",M27="Yes"),C27*0.02,0)</f>
        <v>0</v>
      </c>
      <c r="P27" s="14" t="n">
        <f aca="false">IF(AND('Invoice Sample'!P27="Yes",N27="No"),C27*0.015,0)</f>
        <v>0</v>
      </c>
    </row>
    <row r="28" customFormat="false" ht="15" hidden="false" customHeight="false" outlineLevel="0" collapsed="false">
      <c r="A28" s="19" t="str">
        <f aca="false">'Invoice Sample'!A28</f>
        <v>INV-2057</v>
      </c>
      <c r="B28" s="19" t="str">
        <f aca="false">'Invoice Sample'!C28</f>
        <v>Recurring</v>
      </c>
      <c r="C28" s="32" t="n">
        <f aca="false">'Invoice Sample'!E28</f>
        <v>5866.47</v>
      </c>
      <c r="D28" s="19" t="str">
        <f aca="false">'Invoice Sample'!M28</f>
        <v>Tier 1 ($500-$10K)</v>
      </c>
      <c r="E28" s="19" t="str">
        <f aca="false">'Invoice Sample'!F28</f>
        <v>Net 30</v>
      </c>
      <c r="F28" s="31" t="n">
        <f aca="false">IF(B28="Recurring",'Future-State Model'!E22,'Future-State Model'!E23)</f>
        <v>0.237441860465116</v>
      </c>
      <c r="G28" s="31" t="n">
        <f aca="false">'Future-State Model'!E24</f>
        <v>2.4157</v>
      </c>
      <c r="H28" s="13" t="n">
        <f aca="false">IF(OR(D28="Tier 2 ($10K-$50K)",D28="Tier 3 (&gt;$50K)"),'Future-State Model'!E25,0)</f>
        <v>0</v>
      </c>
      <c r="I28" s="13" t="n">
        <f aca="false">IF(D28="Tier 3 (&gt;$50K)",'Future-State Model'!E26,0)</f>
        <v>0</v>
      </c>
      <c r="J28" s="31" t="n">
        <f aca="false">'Future-State Model'!E27</f>
        <v>0.686</v>
      </c>
      <c r="K28" s="12" t="n">
        <f aca="false">SUM(F28:J28)</f>
        <v>3.33914186046512</v>
      </c>
      <c r="L28" s="13" t="str">
        <f aca="false">IF(E28="2/10 Net 30","Yes","No")</f>
        <v>No</v>
      </c>
      <c r="M28" s="13" t="str">
        <f aca="false">IF(AND(L28="Yes",(F28+G28+H28+I28)&lt;=10),"Yes","No")</f>
        <v>No</v>
      </c>
      <c r="N28" s="13" t="str">
        <f aca="false">IF(K28&gt;30,"Yes","No")</f>
        <v>No</v>
      </c>
      <c r="O28" s="14" t="n">
        <f aca="false">IF(AND(L28="Yes",'Invoice Sample'!O28="No",M28="Yes"),C28*0.02,0)</f>
        <v>0</v>
      </c>
      <c r="P28" s="14" t="n">
        <f aca="false">IF(AND('Invoice Sample'!P28="Yes",N28="No"),C28*0.015,0)</f>
        <v>0</v>
      </c>
    </row>
    <row r="29" customFormat="false" ht="15" hidden="false" customHeight="false" outlineLevel="0" collapsed="false">
      <c r="A29" s="19" t="str">
        <f aca="false">'Invoice Sample'!A29</f>
        <v>INV-2058</v>
      </c>
      <c r="B29" s="19" t="str">
        <f aca="false">'Invoice Sample'!C29</f>
        <v>Recurring</v>
      </c>
      <c r="C29" s="32" t="n">
        <f aca="false">'Invoice Sample'!E29</f>
        <v>130.17</v>
      </c>
      <c r="D29" s="19" t="str">
        <f aca="false">'Invoice Sample'!M29</f>
        <v>Tier 0 (&lt;$500)</v>
      </c>
      <c r="E29" s="19" t="str">
        <f aca="false">'Invoice Sample'!F29</f>
        <v>2/10 Net 30</v>
      </c>
      <c r="F29" s="31" t="n">
        <f aca="false">IF(B29="Recurring",'Future-State Model'!E22,'Future-State Model'!E23)</f>
        <v>0.237441860465116</v>
      </c>
      <c r="G29" s="31" t="n">
        <f aca="false">'Future-State Model'!E24</f>
        <v>2.4157</v>
      </c>
      <c r="H29" s="13" t="n">
        <f aca="false">IF(OR(D29="Tier 2 ($10K-$50K)",D29="Tier 3 (&gt;$50K)"),'Future-State Model'!E25,0)</f>
        <v>0</v>
      </c>
      <c r="I29" s="13" t="n">
        <f aca="false">IF(D29="Tier 3 (&gt;$50K)",'Future-State Model'!E26,0)</f>
        <v>0</v>
      </c>
      <c r="J29" s="31" t="n">
        <f aca="false">'Future-State Model'!E27</f>
        <v>0.686</v>
      </c>
      <c r="K29" s="12" t="n">
        <f aca="false">SUM(F29:J29)</f>
        <v>3.33914186046512</v>
      </c>
      <c r="L29" s="13" t="str">
        <f aca="false">IF(E29="2/10 Net 30","Yes","No")</f>
        <v>Yes</v>
      </c>
      <c r="M29" s="13" t="str">
        <f aca="false">IF(AND(L29="Yes",(F29+G29+H29+I29)&lt;=10),"Yes","No")</f>
        <v>Yes</v>
      </c>
      <c r="N29" s="13" t="str">
        <f aca="false">IF(K29&gt;30,"Yes","No")</f>
        <v>No</v>
      </c>
      <c r="O29" s="14" t="n">
        <f aca="false">IF(AND(L29="Yes",'Invoice Sample'!O29="No",M29="Yes"),C29*0.02,0)</f>
        <v>0</v>
      </c>
      <c r="P29" s="14" t="n">
        <f aca="false">IF(AND('Invoice Sample'!P29="Yes",N29="No"),C29*0.015,0)</f>
        <v>0</v>
      </c>
    </row>
    <row r="30" customFormat="false" ht="15" hidden="false" customHeight="false" outlineLevel="0" collapsed="false">
      <c r="A30" s="19" t="str">
        <f aca="false">'Invoice Sample'!A30</f>
        <v>INV-2059</v>
      </c>
      <c r="B30" s="19" t="str">
        <f aca="false">'Invoice Sample'!C30</f>
        <v>One-off</v>
      </c>
      <c r="C30" s="32" t="n">
        <f aca="false">'Invoice Sample'!E30</f>
        <v>219.79</v>
      </c>
      <c r="D30" s="19" t="str">
        <f aca="false">'Invoice Sample'!M30</f>
        <v>Tier 0 (&lt;$500)</v>
      </c>
      <c r="E30" s="19" t="str">
        <f aca="false">'Invoice Sample'!F30</f>
        <v>Net 30</v>
      </c>
      <c r="F30" s="31" t="n">
        <f aca="false">IF(B30="Recurring",'Future-State Model'!E22,'Future-State Model'!E23)</f>
        <v>1.57352941176471</v>
      </c>
      <c r="G30" s="31" t="n">
        <f aca="false">'Future-State Model'!E24</f>
        <v>2.4157</v>
      </c>
      <c r="H30" s="13" t="n">
        <f aca="false">IF(OR(D30="Tier 2 ($10K-$50K)",D30="Tier 3 (&gt;$50K)"),'Future-State Model'!E25,0)</f>
        <v>0</v>
      </c>
      <c r="I30" s="13" t="n">
        <f aca="false">IF(D30="Tier 3 (&gt;$50K)",'Future-State Model'!E26,0)</f>
        <v>0</v>
      </c>
      <c r="J30" s="31" t="n">
        <f aca="false">'Future-State Model'!E27</f>
        <v>0.686</v>
      </c>
      <c r="K30" s="12" t="n">
        <f aca="false">SUM(F30:J30)</f>
        <v>4.67522941176471</v>
      </c>
      <c r="L30" s="13" t="str">
        <f aca="false">IF(E30="2/10 Net 30","Yes","No")</f>
        <v>No</v>
      </c>
      <c r="M30" s="13" t="str">
        <f aca="false">IF(AND(L30="Yes",(F30+G30+H30+I30)&lt;=10),"Yes","No")</f>
        <v>No</v>
      </c>
      <c r="N30" s="13" t="str">
        <f aca="false">IF(K30&gt;30,"Yes","No")</f>
        <v>No</v>
      </c>
      <c r="O30" s="14" t="n">
        <f aca="false">IF(AND(L30="Yes",'Invoice Sample'!O30="No",M30="Yes"),C30*0.02,0)</f>
        <v>0</v>
      </c>
      <c r="P30" s="14" t="n">
        <f aca="false">IF(AND('Invoice Sample'!P30="Yes",N30="No"),C30*0.015,0)</f>
        <v>0</v>
      </c>
    </row>
    <row r="31" customFormat="false" ht="15" hidden="false" customHeight="false" outlineLevel="0" collapsed="false">
      <c r="A31" s="19" t="str">
        <f aca="false">'Invoice Sample'!A31</f>
        <v>INV-2060</v>
      </c>
      <c r="B31" s="19" t="str">
        <f aca="false">'Invoice Sample'!C31</f>
        <v>Recurring</v>
      </c>
      <c r="C31" s="32" t="n">
        <f aca="false">'Invoice Sample'!E31</f>
        <v>1903.79</v>
      </c>
      <c r="D31" s="19" t="str">
        <f aca="false">'Invoice Sample'!M31</f>
        <v>Tier 1 ($500-$10K)</v>
      </c>
      <c r="E31" s="19" t="str">
        <f aca="false">'Invoice Sample'!F31</f>
        <v>Net 30</v>
      </c>
      <c r="F31" s="31" t="n">
        <f aca="false">IF(B31="Recurring",'Future-State Model'!E22,'Future-State Model'!E23)</f>
        <v>0.237441860465116</v>
      </c>
      <c r="G31" s="31" t="n">
        <f aca="false">'Future-State Model'!E24</f>
        <v>2.4157</v>
      </c>
      <c r="H31" s="13" t="n">
        <f aca="false">IF(OR(D31="Tier 2 ($10K-$50K)",D31="Tier 3 (&gt;$50K)"),'Future-State Model'!E25,0)</f>
        <v>0</v>
      </c>
      <c r="I31" s="13" t="n">
        <f aca="false">IF(D31="Tier 3 (&gt;$50K)",'Future-State Model'!E26,0)</f>
        <v>0</v>
      </c>
      <c r="J31" s="31" t="n">
        <f aca="false">'Future-State Model'!E27</f>
        <v>0.686</v>
      </c>
      <c r="K31" s="12" t="n">
        <f aca="false">SUM(F31:J31)</f>
        <v>3.33914186046512</v>
      </c>
      <c r="L31" s="13" t="str">
        <f aca="false">IF(E31="2/10 Net 30","Yes","No")</f>
        <v>No</v>
      </c>
      <c r="M31" s="13" t="str">
        <f aca="false">IF(AND(L31="Yes",(F31+G31+H31+I31)&lt;=10),"Yes","No")</f>
        <v>No</v>
      </c>
      <c r="N31" s="13" t="str">
        <f aca="false">IF(K31&gt;30,"Yes","No")</f>
        <v>No</v>
      </c>
      <c r="O31" s="14" t="n">
        <f aca="false">IF(AND(L31="Yes",'Invoice Sample'!O31="No",M31="Yes"),C31*0.02,0)</f>
        <v>0</v>
      </c>
      <c r="P31" s="14" t="n">
        <f aca="false">IF(AND('Invoice Sample'!P31="Yes",N31="No"),C31*0.015,0)</f>
        <v>0</v>
      </c>
    </row>
    <row r="32" customFormat="false" ht="15" hidden="false" customHeight="false" outlineLevel="0" collapsed="false">
      <c r="A32" s="19" t="str">
        <f aca="false">'Invoice Sample'!A32</f>
        <v>INV-2061</v>
      </c>
      <c r="B32" s="19" t="str">
        <f aca="false">'Invoice Sample'!C32</f>
        <v>One-off</v>
      </c>
      <c r="C32" s="32" t="n">
        <f aca="false">'Invoice Sample'!E32</f>
        <v>25054</v>
      </c>
      <c r="D32" s="19" t="str">
        <f aca="false">'Invoice Sample'!M32</f>
        <v>Tier 2 ($10K-$50K)</v>
      </c>
      <c r="E32" s="19" t="str">
        <f aca="false">'Invoice Sample'!F32</f>
        <v>Net 30</v>
      </c>
      <c r="F32" s="31" t="n">
        <f aca="false">IF(B32="Recurring",'Future-State Model'!E22,'Future-State Model'!E23)</f>
        <v>1.57352941176471</v>
      </c>
      <c r="G32" s="31" t="n">
        <f aca="false">'Future-State Model'!E24</f>
        <v>2.4157</v>
      </c>
      <c r="H32" s="31" t="n">
        <f aca="false">IF(OR(D32="Tier 2 ($10K-$50K)",D32="Tier 3 (&gt;$50K)"),'Future-State Model'!E25,0)</f>
        <v>2.06456565656566</v>
      </c>
      <c r="I32" s="13" t="n">
        <f aca="false">IF(D32="Tier 3 (&gt;$50K)",'Future-State Model'!E26,0)</f>
        <v>0</v>
      </c>
      <c r="J32" s="31" t="n">
        <f aca="false">'Future-State Model'!E27</f>
        <v>0.686</v>
      </c>
      <c r="K32" s="12" t="n">
        <f aca="false">SUM(F32:J32)</f>
        <v>6.73979506833036</v>
      </c>
      <c r="L32" s="13" t="str">
        <f aca="false">IF(E32="2/10 Net 30","Yes","No")</f>
        <v>No</v>
      </c>
      <c r="M32" s="13" t="str">
        <f aca="false">IF(AND(L32="Yes",(F32+G32+H32+I32)&lt;=10),"Yes","No")</f>
        <v>No</v>
      </c>
      <c r="N32" s="13" t="str">
        <f aca="false">IF(K32&gt;30,"Yes","No")</f>
        <v>No</v>
      </c>
      <c r="O32" s="14" t="n">
        <f aca="false">IF(AND(L32="Yes",'Invoice Sample'!O32="No",M32="Yes"),C32*0.02,0)</f>
        <v>0</v>
      </c>
      <c r="P32" s="14" t="n">
        <f aca="false">IF(AND('Invoice Sample'!P32="Yes",N32="No"),C32*0.015,0)</f>
        <v>0</v>
      </c>
    </row>
    <row r="33" customFormat="false" ht="15" hidden="false" customHeight="false" outlineLevel="0" collapsed="false">
      <c r="A33" s="19" t="str">
        <f aca="false">'Invoice Sample'!A33</f>
        <v>INV-2062</v>
      </c>
      <c r="B33" s="19" t="str">
        <f aca="false">'Invoice Sample'!C33</f>
        <v>Recurring</v>
      </c>
      <c r="C33" s="32" t="n">
        <f aca="false">'Invoice Sample'!E33</f>
        <v>98026.75</v>
      </c>
      <c r="D33" s="19" t="str">
        <f aca="false">'Invoice Sample'!M33</f>
        <v>Tier 3 (&gt;$50K)</v>
      </c>
      <c r="E33" s="19" t="str">
        <f aca="false">'Invoice Sample'!F33</f>
        <v>2/10 Net 30</v>
      </c>
      <c r="F33" s="31" t="n">
        <f aca="false">IF(B33="Recurring",'Future-State Model'!E22,'Future-State Model'!E23)</f>
        <v>0.237441860465116</v>
      </c>
      <c r="G33" s="31" t="n">
        <f aca="false">'Future-State Model'!E24</f>
        <v>2.4157</v>
      </c>
      <c r="H33" s="31" t="n">
        <f aca="false">IF(OR(D33="Tier 2 ($10K-$50K)",D33="Tier 3 (&gt;$50K)"),'Future-State Model'!E25,0)</f>
        <v>2.06456565656566</v>
      </c>
      <c r="I33" s="31" t="n">
        <f aca="false">IF(D33="Tier 3 (&gt;$50K)",'Future-State Model'!E26,0)</f>
        <v>2.43014141414141</v>
      </c>
      <c r="J33" s="31" t="n">
        <f aca="false">'Future-State Model'!E27</f>
        <v>0.686</v>
      </c>
      <c r="K33" s="12" t="n">
        <f aca="false">SUM(F33:J33)</f>
        <v>7.83384893117219</v>
      </c>
      <c r="L33" s="13" t="str">
        <f aca="false">IF(E33="2/10 Net 30","Yes","No")</f>
        <v>Yes</v>
      </c>
      <c r="M33" s="13" t="str">
        <f aca="false">IF(AND(L33="Yes",(F33+G33+H33+I33)&lt;=10),"Yes","No")</f>
        <v>Yes</v>
      </c>
      <c r="N33" s="13" t="str">
        <f aca="false">IF(K33&gt;30,"Yes","No")</f>
        <v>No</v>
      </c>
      <c r="O33" s="14" t="n">
        <f aca="false">IF(AND(L33="Yes",'Invoice Sample'!O33="No",M33="Yes"),C33*0.02,0)</f>
        <v>0</v>
      </c>
      <c r="P33" s="14" t="n">
        <f aca="false">IF(AND('Invoice Sample'!P33="Yes",N33="No"),C33*0.015,0)</f>
        <v>0</v>
      </c>
    </row>
    <row r="34" customFormat="false" ht="15" hidden="false" customHeight="false" outlineLevel="0" collapsed="false">
      <c r="A34" s="19" t="str">
        <f aca="false">'Invoice Sample'!A34</f>
        <v>INV-2063</v>
      </c>
      <c r="B34" s="19" t="str">
        <f aca="false">'Invoice Sample'!C34</f>
        <v>Recurring</v>
      </c>
      <c r="C34" s="32" t="n">
        <f aca="false">'Invoice Sample'!E34</f>
        <v>7921.51</v>
      </c>
      <c r="D34" s="19" t="str">
        <f aca="false">'Invoice Sample'!M34</f>
        <v>Tier 1 ($500-$10K)</v>
      </c>
      <c r="E34" s="19" t="str">
        <f aca="false">'Invoice Sample'!F34</f>
        <v>2/10 Net 30</v>
      </c>
      <c r="F34" s="31" t="n">
        <f aca="false">IF(B34="Recurring",'Future-State Model'!E22,'Future-State Model'!E23)</f>
        <v>0.237441860465116</v>
      </c>
      <c r="G34" s="31" t="n">
        <f aca="false">'Future-State Model'!E24</f>
        <v>2.4157</v>
      </c>
      <c r="H34" s="13" t="n">
        <f aca="false">IF(OR(D34="Tier 2 ($10K-$50K)",D34="Tier 3 (&gt;$50K)"),'Future-State Model'!E25,0)</f>
        <v>0</v>
      </c>
      <c r="I34" s="13" t="n">
        <f aca="false">IF(D34="Tier 3 (&gt;$50K)",'Future-State Model'!E26,0)</f>
        <v>0</v>
      </c>
      <c r="J34" s="31" t="n">
        <f aca="false">'Future-State Model'!E27</f>
        <v>0.686</v>
      </c>
      <c r="K34" s="12" t="n">
        <f aca="false">SUM(F34:J34)</f>
        <v>3.33914186046512</v>
      </c>
      <c r="L34" s="13" t="str">
        <f aca="false">IF(E34="2/10 Net 30","Yes","No")</f>
        <v>Yes</v>
      </c>
      <c r="M34" s="13" t="str">
        <f aca="false">IF(AND(L34="Yes",(F34+G34+H34+I34)&lt;=10),"Yes","No")</f>
        <v>Yes</v>
      </c>
      <c r="N34" s="13" t="str">
        <f aca="false">IF(K34&gt;30,"Yes","No")</f>
        <v>No</v>
      </c>
      <c r="O34" s="14" t="n">
        <f aca="false">IF(AND(L34="Yes",'Invoice Sample'!O34="No",M34="Yes"),C34*0.02,0)</f>
        <v>158.4302</v>
      </c>
      <c r="P34" s="14" t="n">
        <f aca="false">IF(AND('Invoice Sample'!P34="Yes",N34="No"),C34*0.015,0)</f>
        <v>0</v>
      </c>
    </row>
    <row r="35" customFormat="false" ht="15" hidden="false" customHeight="false" outlineLevel="0" collapsed="false">
      <c r="A35" s="19" t="str">
        <f aca="false">'Invoice Sample'!A35</f>
        <v>INV-2064</v>
      </c>
      <c r="B35" s="19" t="str">
        <f aca="false">'Invoice Sample'!C35</f>
        <v>One-off</v>
      </c>
      <c r="C35" s="32" t="n">
        <f aca="false">'Invoice Sample'!E35</f>
        <v>6675.54</v>
      </c>
      <c r="D35" s="19" t="str">
        <f aca="false">'Invoice Sample'!M35</f>
        <v>Tier 1 ($500-$10K)</v>
      </c>
      <c r="E35" s="19" t="str">
        <f aca="false">'Invoice Sample'!F35</f>
        <v>2/10 Net 30</v>
      </c>
      <c r="F35" s="31" t="n">
        <f aca="false">IF(B35="Recurring",'Future-State Model'!E22,'Future-State Model'!E23)</f>
        <v>1.57352941176471</v>
      </c>
      <c r="G35" s="31" t="n">
        <f aca="false">'Future-State Model'!E24</f>
        <v>2.4157</v>
      </c>
      <c r="H35" s="13" t="n">
        <f aca="false">IF(OR(D35="Tier 2 ($10K-$50K)",D35="Tier 3 (&gt;$50K)"),'Future-State Model'!E25,0)</f>
        <v>0</v>
      </c>
      <c r="I35" s="13" t="n">
        <f aca="false">IF(D35="Tier 3 (&gt;$50K)",'Future-State Model'!E26,0)</f>
        <v>0</v>
      </c>
      <c r="J35" s="31" t="n">
        <f aca="false">'Future-State Model'!E27</f>
        <v>0.686</v>
      </c>
      <c r="K35" s="12" t="n">
        <f aca="false">SUM(F35:J35)</f>
        <v>4.67522941176471</v>
      </c>
      <c r="L35" s="13" t="str">
        <f aca="false">IF(E35="2/10 Net 30","Yes","No")</f>
        <v>Yes</v>
      </c>
      <c r="M35" s="13" t="str">
        <f aca="false">IF(AND(L35="Yes",(F35+G35+H35+I35)&lt;=10),"Yes","No")</f>
        <v>Yes</v>
      </c>
      <c r="N35" s="13" t="str">
        <f aca="false">IF(K35&gt;30,"Yes","No")</f>
        <v>No</v>
      </c>
      <c r="O35" s="14" t="n">
        <f aca="false">IF(AND(L35="Yes",'Invoice Sample'!O35="No",M35="Yes"),C35*0.02,0)</f>
        <v>133.5108</v>
      </c>
      <c r="P35" s="14" t="n">
        <f aca="false">IF(AND('Invoice Sample'!P35="Yes",N35="No"),C35*0.015,0)</f>
        <v>0</v>
      </c>
    </row>
    <row r="36" customFormat="false" ht="15" hidden="false" customHeight="false" outlineLevel="0" collapsed="false">
      <c r="A36" s="19" t="str">
        <f aca="false">'Invoice Sample'!A36</f>
        <v>INV-2065</v>
      </c>
      <c r="B36" s="19" t="str">
        <f aca="false">'Invoice Sample'!C36</f>
        <v>Recurring</v>
      </c>
      <c r="C36" s="32" t="n">
        <f aca="false">'Invoice Sample'!E36</f>
        <v>6733.9</v>
      </c>
      <c r="D36" s="19" t="str">
        <f aca="false">'Invoice Sample'!M36</f>
        <v>Tier 1 ($500-$10K)</v>
      </c>
      <c r="E36" s="19" t="str">
        <f aca="false">'Invoice Sample'!F36</f>
        <v>2/10 Net 30</v>
      </c>
      <c r="F36" s="31" t="n">
        <f aca="false">IF(B36="Recurring",'Future-State Model'!E22,'Future-State Model'!E23)</f>
        <v>0.237441860465116</v>
      </c>
      <c r="G36" s="31" t="n">
        <f aca="false">'Future-State Model'!E24</f>
        <v>2.4157</v>
      </c>
      <c r="H36" s="13" t="n">
        <f aca="false">IF(OR(D36="Tier 2 ($10K-$50K)",D36="Tier 3 (&gt;$50K)"),'Future-State Model'!E25,0)</f>
        <v>0</v>
      </c>
      <c r="I36" s="13" t="n">
        <f aca="false">IF(D36="Tier 3 (&gt;$50K)",'Future-State Model'!E26,0)</f>
        <v>0</v>
      </c>
      <c r="J36" s="31" t="n">
        <f aca="false">'Future-State Model'!E27</f>
        <v>0.686</v>
      </c>
      <c r="K36" s="12" t="n">
        <f aca="false">SUM(F36:J36)</f>
        <v>3.33914186046512</v>
      </c>
      <c r="L36" s="13" t="str">
        <f aca="false">IF(E36="2/10 Net 30","Yes","No")</f>
        <v>Yes</v>
      </c>
      <c r="M36" s="13" t="str">
        <f aca="false">IF(AND(L36="Yes",(F36+G36+H36+I36)&lt;=10),"Yes","No")</f>
        <v>Yes</v>
      </c>
      <c r="N36" s="13" t="str">
        <f aca="false">IF(K36&gt;30,"Yes","No")</f>
        <v>No</v>
      </c>
      <c r="O36" s="14" t="n">
        <f aca="false">IF(AND(L36="Yes",'Invoice Sample'!O36="No",M36="Yes"),C36*0.02,0)</f>
        <v>0</v>
      </c>
      <c r="P36" s="14" t="n">
        <f aca="false">IF(AND('Invoice Sample'!P36="Yes",N36="No"),C36*0.015,0)</f>
        <v>0</v>
      </c>
    </row>
    <row r="37" customFormat="false" ht="15" hidden="false" customHeight="false" outlineLevel="0" collapsed="false">
      <c r="A37" s="19" t="str">
        <f aca="false">'Invoice Sample'!A37</f>
        <v>INV-2066</v>
      </c>
      <c r="B37" s="19" t="str">
        <f aca="false">'Invoice Sample'!C37</f>
        <v>One-off</v>
      </c>
      <c r="C37" s="32" t="n">
        <f aca="false">'Invoice Sample'!E37</f>
        <v>8108.36</v>
      </c>
      <c r="D37" s="19" t="str">
        <f aca="false">'Invoice Sample'!M37</f>
        <v>Tier 1 ($500-$10K)</v>
      </c>
      <c r="E37" s="19" t="str">
        <f aca="false">'Invoice Sample'!F37</f>
        <v>Net 30</v>
      </c>
      <c r="F37" s="31" t="n">
        <f aca="false">IF(B37="Recurring",'Future-State Model'!E22,'Future-State Model'!E23)</f>
        <v>1.57352941176471</v>
      </c>
      <c r="G37" s="31" t="n">
        <f aca="false">'Future-State Model'!E24</f>
        <v>2.4157</v>
      </c>
      <c r="H37" s="13" t="n">
        <f aca="false">IF(OR(D37="Tier 2 ($10K-$50K)",D37="Tier 3 (&gt;$50K)"),'Future-State Model'!E25,0)</f>
        <v>0</v>
      </c>
      <c r="I37" s="13" t="n">
        <f aca="false">IF(D37="Tier 3 (&gt;$50K)",'Future-State Model'!E26,0)</f>
        <v>0</v>
      </c>
      <c r="J37" s="31" t="n">
        <f aca="false">'Future-State Model'!E27</f>
        <v>0.686</v>
      </c>
      <c r="K37" s="12" t="n">
        <f aca="false">SUM(F37:J37)</f>
        <v>4.67522941176471</v>
      </c>
      <c r="L37" s="13" t="str">
        <f aca="false">IF(E37="2/10 Net 30","Yes","No")</f>
        <v>No</v>
      </c>
      <c r="M37" s="13" t="str">
        <f aca="false">IF(AND(L37="Yes",(F37+G37+H37+I37)&lt;=10),"Yes","No")</f>
        <v>No</v>
      </c>
      <c r="N37" s="13" t="str">
        <f aca="false">IF(K37&gt;30,"Yes","No")</f>
        <v>No</v>
      </c>
      <c r="O37" s="14" t="n">
        <f aca="false">IF(AND(L37="Yes",'Invoice Sample'!O37="No",M37="Yes"),C37*0.02,0)</f>
        <v>0</v>
      </c>
      <c r="P37" s="14" t="n">
        <f aca="false">IF(AND('Invoice Sample'!P37="Yes",N37="No"),C37*0.015,0)</f>
        <v>0</v>
      </c>
    </row>
    <row r="38" customFormat="false" ht="15" hidden="false" customHeight="false" outlineLevel="0" collapsed="false">
      <c r="A38" s="19" t="str">
        <f aca="false">'Invoice Sample'!A38</f>
        <v>INV-2067</v>
      </c>
      <c r="B38" s="19" t="str">
        <f aca="false">'Invoice Sample'!C38</f>
        <v>Recurring</v>
      </c>
      <c r="C38" s="32" t="n">
        <f aca="false">'Invoice Sample'!E38</f>
        <v>145.03</v>
      </c>
      <c r="D38" s="19" t="str">
        <f aca="false">'Invoice Sample'!M38</f>
        <v>Tier 0 (&lt;$500)</v>
      </c>
      <c r="E38" s="19" t="str">
        <f aca="false">'Invoice Sample'!F38</f>
        <v>Net 30</v>
      </c>
      <c r="F38" s="31" t="n">
        <f aca="false">IF(B38="Recurring",'Future-State Model'!E22,'Future-State Model'!E23)</f>
        <v>0.237441860465116</v>
      </c>
      <c r="G38" s="31" t="n">
        <f aca="false">'Future-State Model'!E24</f>
        <v>2.4157</v>
      </c>
      <c r="H38" s="13" t="n">
        <f aca="false">IF(OR(D38="Tier 2 ($10K-$50K)",D38="Tier 3 (&gt;$50K)"),'Future-State Model'!E25,0)</f>
        <v>0</v>
      </c>
      <c r="I38" s="13" t="n">
        <f aca="false">IF(D38="Tier 3 (&gt;$50K)",'Future-State Model'!E26,0)</f>
        <v>0</v>
      </c>
      <c r="J38" s="31" t="n">
        <f aca="false">'Future-State Model'!E27</f>
        <v>0.686</v>
      </c>
      <c r="K38" s="12" t="n">
        <f aca="false">SUM(F38:J38)</f>
        <v>3.33914186046512</v>
      </c>
      <c r="L38" s="13" t="str">
        <f aca="false">IF(E38="2/10 Net 30","Yes","No")</f>
        <v>No</v>
      </c>
      <c r="M38" s="13" t="str">
        <f aca="false">IF(AND(L38="Yes",(F38+G38+H38+I38)&lt;=10),"Yes","No")</f>
        <v>No</v>
      </c>
      <c r="N38" s="13" t="str">
        <f aca="false">IF(K38&gt;30,"Yes","No")</f>
        <v>No</v>
      </c>
      <c r="O38" s="14" t="n">
        <f aca="false">IF(AND(L38="Yes",'Invoice Sample'!O38="No",M38="Yes"),C38*0.02,0)</f>
        <v>0</v>
      </c>
      <c r="P38" s="14" t="n">
        <f aca="false">IF(AND('Invoice Sample'!P38="Yes",N38="No"),C38*0.015,0)</f>
        <v>0</v>
      </c>
    </row>
    <row r="39" customFormat="false" ht="15" hidden="false" customHeight="false" outlineLevel="0" collapsed="false">
      <c r="A39" s="19" t="str">
        <f aca="false">'Invoice Sample'!A39</f>
        <v>INV-2068</v>
      </c>
      <c r="B39" s="19" t="str">
        <f aca="false">'Invoice Sample'!C39</f>
        <v>One-off</v>
      </c>
      <c r="C39" s="32" t="n">
        <f aca="false">'Invoice Sample'!E39</f>
        <v>1017.7</v>
      </c>
      <c r="D39" s="19" t="str">
        <f aca="false">'Invoice Sample'!M39</f>
        <v>Tier 1 ($500-$10K)</v>
      </c>
      <c r="E39" s="19" t="str">
        <f aca="false">'Invoice Sample'!F39</f>
        <v>Net 30</v>
      </c>
      <c r="F39" s="31" t="n">
        <f aca="false">IF(B39="Recurring",'Future-State Model'!E22,'Future-State Model'!E23)</f>
        <v>1.57352941176471</v>
      </c>
      <c r="G39" s="31" t="n">
        <f aca="false">'Future-State Model'!E24</f>
        <v>2.4157</v>
      </c>
      <c r="H39" s="13" t="n">
        <f aca="false">IF(OR(D39="Tier 2 ($10K-$50K)",D39="Tier 3 (&gt;$50K)"),'Future-State Model'!E25,0)</f>
        <v>0</v>
      </c>
      <c r="I39" s="13" t="n">
        <f aca="false">IF(D39="Tier 3 (&gt;$50K)",'Future-State Model'!E26,0)</f>
        <v>0</v>
      </c>
      <c r="J39" s="31" t="n">
        <f aca="false">'Future-State Model'!E27</f>
        <v>0.686</v>
      </c>
      <c r="K39" s="12" t="n">
        <f aca="false">SUM(F39:J39)</f>
        <v>4.67522941176471</v>
      </c>
      <c r="L39" s="13" t="str">
        <f aca="false">IF(E39="2/10 Net 30","Yes","No")</f>
        <v>No</v>
      </c>
      <c r="M39" s="13" t="str">
        <f aca="false">IF(AND(L39="Yes",(F39+G39+H39+I39)&lt;=10),"Yes","No")</f>
        <v>No</v>
      </c>
      <c r="N39" s="13" t="str">
        <f aca="false">IF(K39&gt;30,"Yes","No")</f>
        <v>No</v>
      </c>
      <c r="O39" s="14" t="n">
        <f aca="false">IF(AND(L39="Yes",'Invoice Sample'!O39="No",M39="Yes"),C39*0.02,0)</f>
        <v>0</v>
      </c>
      <c r="P39" s="14" t="n">
        <f aca="false">IF(AND('Invoice Sample'!P39="Yes",N39="No"),C39*0.015,0)</f>
        <v>0</v>
      </c>
    </row>
    <row r="40" customFormat="false" ht="15" hidden="false" customHeight="false" outlineLevel="0" collapsed="false">
      <c r="A40" s="19" t="str">
        <f aca="false">'Invoice Sample'!A40</f>
        <v>INV-2069</v>
      </c>
      <c r="B40" s="19" t="str">
        <f aca="false">'Invoice Sample'!C40</f>
        <v>Recurring</v>
      </c>
      <c r="C40" s="32" t="n">
        <f aca="false">'Invoice Sample'!E40</f>
        <v>4855.87</v>
      </c>
      <c r="D40" s="19" t="str">
        <f aca="false">'Invoice Sample'!M40</f>
        <v>Tier 1 ($500-$10K)</v>
      </c>
      <c r="E40" s="19" t="str">
        <f aca="false">'Invoice Sample'!F40</f>
        <v>Net 30</v>
      </c>
      <c r="F40" s="31" t="n">
        <f aca="false">IF(B40="Recurring",'Future-State Model'!E22,'Future-State Model'!E23)</f>
        <v>0.237441860465116</v>
      </c>
      <c r="G40" s="31" t="n">
        <f aca="false">'Future-State Model'!E24</f>
        <v>2.4157</v>
      </c>
      <c r="H40" s="13" t="n">
        <f aca="false">IF(OR(D40="Tier 2 ($10K-$50K)",D40="Tier 3 (&gt;$50K)"),'Future-State Model'!E25,0)</f>
        <v>0</v>
      </c>
      <c r="I40" s="13" t="n">
        <f aca="false">IF(D40="Tier 3 (&gt;$50K)",'Future-State Model'!E26,0)</f>
        <v>0</v>
      </c>
      <c r="J40" s="31" t="n">
        <f aca="false">'Future-State Model'!E27</f>
        <v>0.686</v>
      </c>
      <c r="K40" s="12" t="n">
        <f aca="false">SUM(F40:J40)</f>
        <v>3.33914186046512</v>
      </c>
      <c r="L40" s="13" t="str">
        <f aca="false">IF(E40="2/10 Net 30","Yes","No")</f>
        <v>No</v>
      </c>
      <c r="M40" s="13" t="str">
        <f aca="false">IF(AND(L40="Yes",(F40+G40+H40+I40)&lt;=10),"Yes","No")</f>
        <v>No</v>
      </c>
      <c r="N40" s="13" t="str">
        <f aca="false">IF(K40&gt;30,"Yes","No")</f>
        <v>No</v>
      </c>
      <c r="O40" s="14" t="n">
        <f aca="false">IF(AND(L40="Yes",'Invoice Sample'!O40="No",M40="Yes"),C40*0.02,0)</f>
        <v>0</v>
      </c>
      <c r="P40" s="14" t="n">
        <f aca="false">IF(AND('Invoice Sample'!P40="Yes",N40="No"),C40*0.015,0)</f>
        <v>0</v>
      </c>
    </row>
    <row r="41" customFormat="false" ht="15" hidden="false" customHeight="false" outlineLevel="0" collapsed="false">
      <c r="A41" s="19" t="str">
        <f aca="false">'Invoice Sample'!A41</f>
        <v>INV-2070</v>
      </c>
      <c r="B41" s="19" t="str">
        <f aca="false">'Invoice Sample'!C41</f>
        <v>Recurring</v>
      </c>
      <c r="C41" s="32" t="n">
        <f aca="false">'Invoice Sample'!E41</f>
        <v>6667.07</v>
      </c>
      <c r="D41" s="19" t="str">
        <f aca="false">'Invoice Sample'!M41</f>
        <v>Tier 1 ($500-$10K)</v>
      </c>
      <c r="E41" s="19" t="str">
        <f aca="false">'Invoice Sample'!F41</f>
        <v>Net 30</v>
      </c>
      <c r="F41" s="31" t="n">
        <f aca="false">IF(B41="Recurring",'Future-State Model'!E22,'Future-State Model'!E23)</f>
        <v>0.237441860465116</v>
      </c>
      <c r="G41" s="31" t="n">
        <f aca="false">'Future-State Model'!E24</f>
        <v>2.4157</v>
      </c>
      <c r="H41" s="13" t="n">
        <f aca="false">IF(OR(D41="Tier 2 ($10K-$50K)",D41="Tier 3 (&gt;$50K)"),'Future-State Model'!E25,0)</f>
        <v>0</v>
      </c>
      <c r="I41" s="13" t="n">
        <f aca="false">IF(D41="Tier 3 (&gt;$50K)",'Future-State Model'!E26,0)</f>
        <v>0</v>
      </c>
      <c r="J41" s="31" t="n">
        <f aca="false">'Future-State Model'!E27</f>
        <v>0.686</v>
      </c>
      <c r="K41" s="12" t="n">
        <f aca="false">SUM(F41:J41)</f>
        <v>3.33914186046512</v>
      </c>
      <c r="L41" s="13" t="str">
        <f aca="false">IF(E41="2/10 Net 30","Yes","No")</f>
        <v>No</v>
      </c>
      <c r="M41" s="13" t="str">
        <f aca="false">IF(AND(L41="Yes",(F41+G41+H41+I41)&lt;=10),"Yes","No")</f>
        <v>No</v>
      </c>
      <c r="N41" s="13" t="str">
        <f aca="false">IF(K41&gt;30,"Yes","No")</f>
        <v>No</v>
      </c>
      <c r="O41" s="14" t="n">
        <f aca="false">IF(AND(L41="Yes",'Invoice Sample'!O41="No",M41="Yes"),C41*0.02,0)</f>
        <v>0</v>
      </c>
      <c r="P41" s="14" t="n">
        <f aca="false">IF(AND('Invoice Sample'!P41="Yes",N41="No"),C41*0.015,0)</f>
        <v>0</v>
      </c>
    </row>
    <row r="42" customFormat="false" ht="15" hidden="false" customHeight="false" outlineLevel="0" collapsed="false">
      <c r="A42" s="19" t="str">
        <f aca="false">'Invoice Sample'!A42</f>
        <v>INV-2071</v>
      </c>
      <c r="B42" s="19" t="str">
        <f aca="false">'Invoice Sample'!C42</f>
        <v>Recurring</v>
      </c>
      <c r="C42" s="32" t="n">
        <f aca="false">'Invoice Sample'!E42</f>
        <v>3394.39</v>
      </c>
      <c r="D42" s="19" t="str">
        <f aca="false">'Invoice Sample'!M42</f>
        <v>Tier 1 ($500-$10K)</v>
      </c>
      <c r="E42" s="19" t="str">
        <f aca="false">'Invoice Sample'!F42</f>
        <v>Net 30</v>
      </c>
      <c r="F42" s="31" t="n">
        <f aca="false">IF(B42="Recurring",'Future-State Model'!E22,'Future-State Model'!E23)</f>
        <v>0.237441860465116</v>
      </c>
      <c r="G42" s="31" t="n">
        <f aca="false">'Future-State Model'!E24</f>
        <v>2.4157</v>
      </c>
      <c r="H42" s="13" t="n">
        <f aca="false">IF(OR(D42="Tier 2 ($10K-$50K)",D42="Tier 3 (&gt;$50K)"),'Future-State Model'!E25,0)</f>
        <v>0</v>
      </c>
      <c r="I42" s="13" t="n">
        <f aca="false">IF(D42="Tier 3 (&gt;$50K)",'Future-State Model'!E26,0)</f>
        <v>0</v>
      </c>
      <c r="J42" s="31" t="n">
        <f aca="false">'Future-State Model'!E27</f>
        <v>0.686</v>
      </c>
      <c r="K42" s="12" t="n">
        <f aca="false">SUM(F42:J42)</f>
        <v>3.33914186046512</v>
      </c>
      <c r="L42" s="13" t="str">
        <f aca="false">IF(E42="2/10 Net 30","Yes","No")</f>
        <v>No</v>
      </c>
      <c r="M42" s="13" t="str">
        <f aca="false">IF(AND(L42="Yes",(F42+G42+H42+I42)&lt;=10),"Yes","No")</f>
        <v>No</v>
      </c>
      <c r="N42" s="13" t="str">
        <f aca="false">IF(K42&gt;30,"Yes","No")</f>
        <v>No</v>
      </c>
      <c r="O42" s="14" t="n">
        <f aca="false">IF(AND(L42="Yes",'Invoice Sample'!O42="No",M42="Yes"),C42*0.02,0)</f>
        <v>0</v>
      </c>
      <c r="P42" s="14" t="n">
        <f aca="false">IF(AND('Invoice Sample'!P42="Yes",N42="No"),C42*0.015,0)</f>
        <v>0</v>
      </c>
    </row>
    <row r="43" customFormat="false" ht="15" hidden="false" customHeight="false" outlineLevel="0" collapsed="false">
      <c r="A43" s="19" t="str">
        <f aca="false">'Invoice Sample'!A43</f>
        <v>INV-2072</v>
      </c>
      <c r="B43" s="19" t="str">
        <f aca="false">'Invoice Sample'!C43</f>
        <v>Recurring</v>
      </c>
      <c r="C43" s="32" t="n">
        <f aca="false">'Invoice Sample'!E43</f>
        <v>11442.36</v>
      </c>
      <c r="D43" s="19" t="str">
        <f aca="false">'Invoice Sample'!M43</f>
        <v>Tier 2 ($10K-$50K)</v>
      </c>
      <c r="E43" s="19" t="str">
        <f aca="false">'Invoice Sample'!F43</f>
        <v>Net 30</v>
      </c>
      <c r="F43" s="31" t="n">
        <f aca="false">IF(B43="Recurring",'Future-State Model'!E22,'Future-State Model'!E23)</f>
        <v>0.237441860465116</v>
      </c>
      <c r="G43" s="31" t="n">
        <f aca="false">'Future-State Model'!E24</f>
        <v>2.4157</v>
      </c>
      <c r="H43" s="31" t="n">
        <f aca="false">IF(OR(D43="Tier 2 ($10K-$50K)",D43="Tier 3 (&gt;$50K)"),'Future-State Model'!E25,0)</f>
        <v>2.06456565656566</v>
      </c>
      <c r="I43" s="13" t="n">
        <f aca="false">IF(D43="Tier 3 (&gt;$50K)",'Future-State Model'!E26,0)</f>
        <v>0</v>
      </c>
      <c r="J43" s="31" t="n">
        <f aca="false">'Future-State Model'!E27</f>
        <v>0.686</v>
      </c>
      <c r="K43" s="12" t="n">
        <f aca="false">SUM(F43:J43)</f>
        <v>5.40370751703077</v>
      </c>
      <c r="L43" s="13" t="str">
        <f aca="false">IF(E43="2/10 Net 30","Yes","No")</f>
        <v>No</v>
      </c>
      <c r="M43" s="13" t="str">
        <f aca="false">IF(AND(L43="Yes",(F43+G43+H43+I43)&lt;=10),"Yes","No")</f>
        <v>No</v>
      </c>
      <c r="N43" s="13" t="str">
        <f aca="false">IF(K43&gt;30,"Yes","No")</f>
        <v>No</v>
      </c>
      <c r="O43" s="14" t="n">
        <f aca="false">IF(AND(L43="Yes",'Invoice Sample'!O43="No",M43="Yes"),C43*0.02,0)</f>
        <v>0</v>
      </c>
      <c r="P43" s="14" t="n">
        <f aca="false">IF(AND('Invoice Sample'!P43="Yes",N43="No"),C43*0.015,0)</f>
        <v>0</v>
      </c>
    </row>
    <row r="44" customFormat="false" ht="15" hidden="false" customHeight="false" outlineLevel="0" collapsed="false">
      <c r="A44" s="19" t="str">
        <f aca="false">'Invoice Sample'!A44</f>
        <v>INV-2073</v>
      </c>
      <c r="B44" s="19" t="str">
        <f aca="false">'Invoice Sample'!C44</f>
        <v>Recurring</v>
      </c>
      <c r="C44" s="32" t="n">
        <f aca="false">'Invoice Sample'!E44</f>
        <v>3503.72</v>
      </c>
      <c r="D44" s="19" t="str">
        <f aca="false">'Invoice Sample'!M44</f>
        <v>Tier 1 ($500-$10K)</v>
      </c>
      <c r="E44" s="19" t="str">
        <f aca="false">'Invoice Sample'!F44</f>
        <v>Net 30</v>
      </c>
      <c r="F44" s="31" t="n">
        <f aca="false">IF(B44="Recurring",'Future-State Model'!E22,'Future-State Model'!E23)</f>
        <v>0.237441860465116</v>
      </c>
      <c r="G44" s="31" t="n">
        <f aca="false">'Future-State Model'!E24</f>
        <v>2.4157</v>
      </c>
      <c r="H44" s="13" t="n">
        <f aca="false">IF(OR(D44="Tier 2 ($10K-$50K)",D44="Tier 3 (&gt;$50K)"),'Future-State Model'!E25,0)</f>
        <v>0</v>
      </c>
      <c r="I44" s="13" t="n">
        <f aca="false">IF(D44="Tier 3 (&gt;$50K)",'Future-State Model'!E26,0)</f>
        <v>0</v>
      </c>
      <c r="J44" s="31" t="n">
        <f aca="false">'Future-State Model'!E27</f>
        <v>0.686</v>
      </c>
      <c r="K44" s="12" t="n">
        <f aca="false">SUM(F44:J44)</f>
        <v>3.33914186046512</v>
      </c>
      <c r="L44" s="13" t="str">
        <f aca="false">IF(E44="2/10 Net 30","Yes","No")</f>
        <v>No</v>
      </c>
      <c r="M44" s="13" t="str">
        <f aca="false">IF(AND(L44="Yes",(F44+G44+H44+I44)&lt;=10),"Yes","No")</f>
        <v>No</v>
      </c>
      <c r="N44" s="13" t="str">
        <f aca="false">IF(K44&gt;30,"Yes","No")</f>
        <v>No</v>
      </c>
      <c r="O44" s="14" t="n">
        <f aca="false">IF(AND(L44="Yes",'Invoice Sample'!O44="No",M44="Yes"),C44*0.02,0)</f>
        <v>0</v>
      </c>
      <c r="P44" s="14" t="n">
        <f aca="false">IF(AND('Invoice Sample'!P44="Yes",N44="No"),C44*0.015,0)</f>
        <v>0</v>
      </c>
    </row>
    <row r="45" customFormat="false" ht="15" hidden="false" customHeight="false" outlineLevel="0" collapsed="false">
      <c r="A45" s="19" t="str">
        <f aca="false">'Invoice Sample'!A45</f>
        <v>INV-2074</v>
      </c>
      <c r="B45" s="19" t="str">
        <f aca="false">'Invoice Sample'!C45</f>
        <v>Recurring</v>
      </c>
      <c r="C45" s="32" t="n">
        <f aca="false">'Invoice Sample'!E45</f>
        <v>9249.12</v>
      </c>
      <c r="D45" s="19" t="str">
        <f aca="false">'Invoice Sample'!M45</f>
        <v>Tier 1 ($500-$10K)</v>
      </c>
      <c r="E45" s="19" t="str">
        <f aca="false">'Invoice Sample'!F45</f>
        <v>Net 30</v>
      </c>
      <c r="F45" s="31" t="n">
        <f aca="false">IF(B45="Recurring",'Future-State Model'!E22,'Future-State Model'!E23)</f>
        <v>0.237441860465116</v>
      </c>
      <c r="G45" s="31" t="n">
        <f aca="false">'Future-State Model'!E24</f>
        <v>2.4157</v>
      </c>
      <c r="H45" s="13" t="n">
        <f aca="false">IF(OR(D45="Tier 2 ($10K-$50K)",D45="Tier 3 (&gt;$50K)"),'Future-State Model'!E25,0)</f>
        <v>0</v>
      </c>
      <c r="I45" s="13" t="n">
        <f aca="false">IF(D45="Tier 3 (&gt;$50K)",'Future-State Model'!E26,0)</f>
        <v>0</v>
      </c>
      <c r="J45" s="31" t="n">
        <f aca="false">'Future-State Model'!E27</f>
        <v>0.686</v>
      </c>
      <c r="K45" s="12" t="n">
        <f aca="false">SUM(F45:J45)</f>
        <v>3.33914186046512</v>
      </c>
      <c r="L45" s="13" t="str">
        <f aca="false">IF(E45="2/10 Net 30","Yes","No")</f>
        <v>No</v>
      </c>
      <c r="M45" s="13" t="str">
        <f aca="false">IF(AND(L45="Yes",(F45+G45+H45+I45)&lt;=10),"Yes","No")</f>
        <v>No</v>
      </c>
      <c r="N45" s="13" t="str">
        <f aca="false">IF(K45&gt;30,"Yes","No")</f>
        <v>No</v>
      </c>
      <c r="O45" s="14" t="n">
        <f aca="false">IF(AND(L45="Yes",'Invoice Sample'!O45="No",M45="Yes"),C45*0.02,0)</f>
        <v>0</v>
      </c>
      <c r="P45" s="14" t="n">
        <f aca="false">IF(AND('Invoice Sample'!P45="Yes",N45="No"),C45*0.015,0)</f>
        <v>0</v>
      </c>
    </row>
    <row r="46" customFormat="false" ht="15" hidden="false" customHeight="false" outlineLevel="0" collapsed="false">
      <c r="A46" s="19" t="str">
        <f aca="false">'Invoice Sample'!A46</f>
        <v>INV-2075</v>
      </c>
      <c r="B46" s="19" t="str">
        <f aca="false">'Invoice Sample'!C46</f>
        <v>One-off</v>
      </c>
      <c r="C46" s="32" t="n">
        <f aca="false">'Invoice Sample'!E46</f>
        <v>21224.18</v>
      </c>
      <c r="D46" s="19" t="str">
        <f aca="false">'Invoice Sample'!M46</f>
        <v>Tier 2 ($10K-$50K)</v>
      </c>
      <c r="E46" s="19" t="str">
        <f aca="false">'Invoice Sample'!F46</f>
        <v>2/10 Net 30</v>
      </c>
      <c r="F46" s="31" t="n">
        <f aca="false">IF(B46="Recurring",'Future-State Model'!E22,'Future-State Model'!E23)</f>
        <v>1.57352941176471</v>
      </c>
      <c r="G46" s="31" t="n">
        <f aca="false">'Future-State Model'!E24</f>
        <v>2.4157</v>
      </c>
      <c r="H46" s="31" t="n">
        <f aca="false">IF(OR(D46="Tier 2 ($10K-$50K)",D46="Tier 3 (&gt;$50K)"),'Future-State Model'!E25,0)</f>
        <v>2.06456565656566</v>
      </c>
      <c r="I46" s="13" t="n">
        <f aca="false">IF(D46="Tier 3 (&gt;$50K)",'Future-State Model'!E26,0)</f>
        <v>0</v>
      </c>
      <c r="J46" s="31" t="n">
        <f aca="false">'Future-State Model'!E27</f>
        <v>0.686</v>
      </c>
      <c r="K46" s="12" t="n">
        <f aca="false">SUM(F46:J46)</f>
        <v>6.73979506833036</v>
      </c>
      <c r="L46" s="13" t="str">
        <f aca="false">IF(E46="2/10 Net 30","Yes","No")</f>
        <v>Yes</v>
      </c>
      <c r="M46" s="13" t="str">
        <f aca="false">IF(AND(L46="Yes",(F46+G46+H46+I46)&lt;=10),"Yes","No")</f>
        <v>Yes</v>
      </c>
      <c r="N46" s="13" t="str">
        <f aca="false">IF(K46&gt;30,"Yes","No")</f>
        <v>No</v>
      </c>
      <c r="O46" s="14" t="n">
        <f aca="false">IF(AND(L46="Yes",'Invoice Sample'!O46="No",M46="Yes"),C46*0.02,0)</f>
        <v>424.4836</v>
      </c>
      <c r="P46" s="14" t="n">
        <f aca="false">IF(AND('Invoice Sample'!P46="Yes",N46="No"),C46*0.015,0)</f>
        <v>0</v>
      </c>
    </row>
    <row r="47" customFormat="false" ht="15" hidden="false" customHeight="false" outlineLevel="0" collapsed="false">
      <c r="A47" s="19" t="str">
        <f aca="false">'Invoice Sample'!A47</f>
        <v>INV-2076</v>
      </c>
      <c r="B47" s="19" t="str">
        <f aca="false">'Invoice Sample'!C47</f>
        <v>One-off</v>
      </c>
      <c r="C47" s="32" t="n">
        <f aca="false">'Invoice Sample'!E47</f>
        <v>16144.36</v>
      </c>
      <c r="D47" s="19" t="str">
        <f aca="false">'Invoice Sample'!M47</f>
        <v>Tier 2 ($10K-$50K)</v>
      </c>
      <c r="E47" s="19" t="str">
        <f aca="false">'Invoice Sample'!F47</f>
        <v>Net 30</v>
      </c>
      <c r="F47" s="31" t="n">
        <f aca="false">IF(B47="Recurring",'Future-State Model'!E22,'Future-State Model'!E23)</f>
        <v>1.57352941176471</v>
      </c>
      <c r="G47" s="31" t="n">
        <f aca="false">'Future-State Model'!E24</f>
        <v>2.4157</v>
      </c>
      <c r="H47" s="31" t="n">
        <f aca="false">IF(OR(D47="Tier 2 ($10K-$50K)",D47="Tier 3 (&gt;$50K)"),'Future-State Model'!E25,0)</f>
        <v>2.06456565656566</v>
      </c>
      <c r="I47" s="13" t="n">
        <f aca="false">IF(D47="Tier 3 (&gt;$50K)",'Future-State Model'!E26,0)</f>
        <v>0</v>
      </c>
      <c r="J47" s="31" t="n">
        <f aca="false">'Future-State Model'!E27</f>
        <v>0.686</v>
      </c>
      <c r="K47" s="12" t="n">
        <f aca="false">SUM(F47:J47)</f>
        <v>6.73979506833036</v>
      </c>
      <c r="L47" s="13" t="str">
        <f aca="false">IF(E47="2/10 Net 30","Yes","No")</f>
        <v>No</v>
      </c>
      <c r="M47" s="13" t="str">
        <f aca="false">IF(AND(L47="Yes",(F47+G47+H47+I47)&lt;=10),"Yes","No")</f>
        <v>No</v>
      </c>
      <c r="N47" s="13" t="str">
        <f aca="false">IF(K47&gt;30,"Yes","No")</f>
        <v>No</v>
      </c>
      <c r="O47" s="14" t="n">
        <f aca="false">IF(AND(L47="Yes",'Invoice Sample'!O47="No",M47="Yes"),C47*0.02,0)</f>
        <v>0</v>
      </c>
      <c r="P47" s="14" t="n">
        <f aca="false">IF(AND('Invoice Sample'!P47="Yes",N47="No"),C47*0.015,0)</f>
        <v>0</v>
      </c>
    </row>
    <row r="48" customFormat="false" ht="15" hidden="false" customHeight="false" outlineLevel="0" collapsed="false">
      <c r="A48" s="19" t="str">
        <f aca="false">'Invoice Sample'!A48</f>
        <v>INV-2077</v>
      </c>
      <c r="B48" s="19" t="str">
        <f aca="false">'Invoice Sample'!C48</f>
        <v>Recurring</v>
      </c>
      <c r="C48" s="32" t="n">
        <f aca="false">'Invoice Sample'!E48</f>
        <v>7200.66</v>
      </c>
      <c r="D48" s="19" t="str">
        <f aca="false">'Invoice Sample'!M48</f>
        <v>Tier 1 ($500-$10K)</v>
      </c>
      <c r="E48" s="19" t="str">
        <f aca="false">'Invoice Sample'!F48</f>
        <v>2/10 Net 30</v>
      </c>
      <c r="F48" s="31" t="n">
        <f aca="false">IF(B48="Recurring",'Future-State Model'!E22,'Future-State Model'!E23)</f>
        <v>0.237441860465116</v>
      </c>
      <c r="G48" s="31" t="n">
        <f aca="false">'Future-State Model'!E24</f>
        <v>2.4157</v>
      </c>
      <c r="H48" s="13" t="n">
        <f aca="false">IF(OR(D48="Tier 2 ($10K-$50K)",D48="Tier 3 (&gt;$50K)"),'Future-State Model'!E25,0)</f>
        <v>0</v>
      </c>
      <c r="I48" s="13" t="n">
        <f aca="false">IF(D48="Tier 3 (&gt;$50K)",'Future-State Model'!E26,0)</f>
        <v>0</v>
      </c>
      <c r="J48" s="31" t="n">
        <f aca="false">'Future-State Model'!E27</f>
        <v>0.686</v>
      </c>
      <c r="K48" s="12" t="n">
        <f aca="false">SUM(F48:J48)</f>
        <v>3.33914186046512</v>
      </c>
      <c r="L48" s="13" t="str">
        <f aca="false">IF(E48="2/10 Net 30","Yes","No")</f>
        <v>Yes</v>
      </c>
      <c r="M48" s="13" t="str">
        <f aca="false">IF(AND(L48="Yes",(F48+G48+H48+I48)&lt;=10),"Yes","No")</f>
        <v>Yes</v>
      </c>
      <c r="N48" s="13" t="str">
        <f aca="false">IF(K48&gt;30,"Yes","No")</f>
        <v>No</v>
      </c>
      <c r="O48" s="14" t="n">
        <f aca="false">IF(AND(L48="Yes",'Invoice Sample'!O48="No",M48="Yes"),C48*0.02,0)</f>
        <v>144.0132</v>
      </c>
      <c r="P48" s="14" t="n">
        <f aca="false">IF(AND('Invoice Sample'!P48="Yes",N48="No"),C48*0.015,0)</f>
        <v>0</v>
      </c>
    </row>
    <row r="49" customFormat="false" ht="15" hidden="false" customHeight="false" outlineLevel="0" collapsed="false">
      <c r="A49" s="19" t="str">
        <f aca="false">'Invoice Sample'!A49</f>
        <v>INV-2078</v>
      </c>
      <c r="B49" s="19" t="str">
        <f aca="false">'Invoice Sample'!C49</f>
        <v>Recurring</v>
      </c>
      <c r="C49" s="32" t="n">
        <f aca="false">'Invoice Sample'!E49</f>
        <v>9895.77</v>
      </c>
      <c r="D49" s="19" t="str">
        <f aca="false">'Invoice Sample'!M49</f>
        <v>Tier 1 ($500-$10K)</v>
      </c>
      <c r="E49" s="19" t="str">
        <f aca="false">'Invoice Sample'!F49</f>
        <v>Net 30</v>
      </c>
      <c r="F49" s="31" t="n">
        <f aca="false">IF(B49="Recurring",'Future-State Model'!E22,'Future-State Model'!E23)</f>
        <v>0.237441860465116</v>
      </c>
      <c r="G49" s="31" t="n">
        <f aca="false">'Future-State Model'!E24</f>
        <v>2.4157</v>
      </c>
      <c r="H49" s="13" t="n">
        <f aca="false">IF(OR(D49="Tier 2 ($10K-$50K)",D49="Tier 3 (&gt;$50K)"),'Future-State Model'!E25,0)</f>
        <v>0</v>
      </c>
      <c r="I49" s="13" t="n">
        <f aca="false">IF(D49="Tier 3 (&gt;$50K)",'Future-State Model'!E26,0)</f>
        <v>0</v>
      </c>
      <c r="J49" s="31" t="n">
        <f aca="false">'Future-State Model'!E27</f>
        <v>0.686</v>
      </c>
      <c r="K49" s="12" t="n">
        <f aca="false">SUM(F49:J49)</f>
        <v>3.33914186046512</v>
      </c>
      <c r="L49" s="13" t="str">
        <f aca="false">IF(E49="2/10 Net 30","Yes","No")</f>
        <v>No</v>
      </c>
      <c r="M49" s="13" t="str">
        <f aca="false">IF(AND(L49="Yes",(F49+G49+H49+I49)&lt;=10),"Yes","No")</f>
        <v>No</v>
      </c>
      <c r="N49" s="13" t="str">
        <f aca="false">IF(K49&gt;30,"Yes","No")</f>
        <v>No</v>
      </c>
      <c r="O49" s="14" t="n">
        <f aca="false">IF(AND(L49="Yes",'Invoice Sample'!O49="No",M49="Yes"),C49*0.02,0)</f>
        <v>0</v>
      </c>
      <c r="P49" s="14" t="n">
        <f aca="false">IF(AND('Invoice Sample'!P49="Yes",N49="No"),C49*0.015,0)</f>
        <v>0</v>
      </c>
    </row>
    <row r="50" customFormat="false" ht="15" hidden="false" customHeight="false" outlineLevel="0" collapsed="false">
      <c r="A50" s="19" t="str">
        <f aca="false">'Invoice Sample'!A50</f>
        <v>INV-2079</v>
      </c>
      <c r="B50" s="19" t="str">
        <f aca="false">'Invoice Sample'!C50</f>
        <v>Recurring</v>
      </c>
      <c r="C50" s="32" t="n">
        <f aca="false">'Invoice Sample'!E50</f>
        <v>4620.47</v>
      </c>
      <c r="D50" s="19" t="str">
        <f aca="false">'Invoice Sample'!M50</f>
        <v>Tier 1 ($500-$10K)</v>
      </c>
      <c r="E50" s="19" t="str">
        <f aca="false">'Invoice Sample'!F50</f>
        <v>Net 30</v>
      </c>
      <c r="F50" s="31" t="n">
        <f aca="false">IF(B50="Recurring",'Future-State Model'!E22,'Future-State Model'!E23)</f>
        <v>0.237441860465116</v>
      </c>
      <c r="G50" s="31" t="n">
        <f aca="false">'Future-State Model'!E24</f>
        <v>2.4157</v>
      </c>
      <c r="H50" s="13" t="n">
        <f aca="false">IF(OR(D50="Tier 2 ($10K-$50K)",D50="Tier 3 (&gt;$50K)"),'Future-State Model'!E25,0)</f>
        <v>0</v>
      </c>
      <c r="I50" s="13" t="n">
        <f aca="false">IF(D50="Tier 3 (&gt;$50K)",'Future-State Model'!E26,0)</f>
        <v>0</v>
      </c>
      <c r="J50" s="31" t="n">
        <f aca="false">'Future-State Model'!E27</f>
        <v>0.686</v>
      </c>
      <c r="K50" s="12" t="n">
        <f aca="false">SUM(F50:J50)</f>
        <v>3.33914186046512</v>
      </c>
      <c r="L50" s="13" t="str">
        <f aca="false">IF(E50="2/10 Net 30","Yes","No")</f>
        <v>No</v>
      </c>
      <c r="M50" s="13" t="str">
        <f aca="false">IF(AND(L50="Yes",(F50+G50+H50+I50)&lt;=10),"Yes","No")</f>
        <v>No</v>
      </c>
      <c r="N50" s="13" t="str">
        <f aca="false">IF(K50&gt;30,"Yes","No")</f>
        <v>No</v>
      </c>
      <c r="O50" s="14" t="n">
        <f aca="false">IF(AND(L50="Yes",'Invoice Sample'!O50="No",M50="Yes"),C50*0.02,0)</f>
        <v>0</v>
      </c>
      <c r="P50" s="14" t="n">
        <f aca="false">IF(AND('Invoice Sample'!P50="Yes",N50="No"),C50*0.015,0)</f>
        <v>0</v>
      </c>
    </row>
    <row r="51" customFormat="false" ht="15" hidden="false" customHeight="false" outlineLevel="0" collapsed="false">
      <c r="A51" s="19" t="str">
        <f aca="false">'Invoice Sample'!A51</f>
        <v>INV-2080</v>
      </c>
      <c r="B51" s="19" t="str">
        <f aca="false">'Invoice Sample'!C51</f>
        <v>Recurring</v>
      </c>
      <c r="C51" s="32" t="n">
        <f aca="false">'Invoice Sample'!E51</f>
        <v>325.72</v>
      </c>
      <c r="D51" s="19" t="str">
        <f aca="false">'Invoice Sample'!M51</f>
        <v>Tier 0 (&lt;$500)</v>
      </c>
      <c r="E51" s="19" t="str">
        <f aca="false">'Invoice Sample'!F51</f>
        <v>Net 30</v>
      </c>
      <c r="F51" s="31" t="n">
        <f aca="false">IF(B51="Recurring",'Future-State Model'!E22,'Future-State Model'!E23)</f>
        <v>0.237441860465116</v>
      </c>
      <c r="G51" s="31" t="n">
        <f aca="false">'Future-State Model'!E24</f>
        <v>2.4157</v>
      </c>
      <c r="H51" s="13" t="n">
        <f aca="false">IF(OR(D51="Tier 2 ($10K-$50K)",D51="Tier 3 (&gt;$50K)"),'Future-State Model'!E25,0)</f>
        <v>0</v>
      </c>
      <c r="I51" s="13" t="n">
        <f aca="false">IF(D51="Tier 3 (&gt;$50K)",'Future-State Model'!E26,0)</f>
        <v>0</v>
      </c>
      <c r="J51" s="31" t="n">
        <f aca="false">'Future-State Model'!E27</f>
        <v>0.686</v>
      </c>
      <c r="K51" s="12" t="n">
        <f aca="false">SUM(F51:J51)</f>
        <v>3.33914186046512</v>
      </c>
      <c r="L51" s="13" t="str">
        <f aca="false">IF(E51="2/10 Net 30","Yes","No")</f>
        <v>No</v>
      </c>
      <c r="M51" s="13" t="str">
        <f aca="false">IF(AND(L51="Yes",(F51+G51+H51+I51)&lt;=10),"Yes","No")</f>
        <v>No</v>
      </c>
      <c r="N51" s="13" t="str">
        <f aca="false">IF(K51&gt;30,"Yes","No")</f>
        <v>No</v>
      </c>
      <c r="O51" s="14" t="n">
        <f aca="false">IF(AND(L51="Yes",'Invoice Sample'!O51="No",M51="Yes"),C51*0.02,0)</f>
        <v>0</v>
      </c>
      <c r="P51" s="14" t="n">
        <f aca="false">IF(AND('Invoice Sample'!P51="Yes",N51="No"),C51*0.015,0)</f>
        <v>0</v>
      </c>
    </row>
    <row r="52" customFormat="false" ht="15" hidden="false" customHeight="false" outlineLevel="0" collapsed="false">
      <c r="A52" s="19" t="str">
        <f aca="false">'Invoice Sample'!A52</f>
        <v>INV-2081</v>
      </c>
      <c r="B52" s="19" t="str">
        <f aca="false">'Invoice Sample'!C52</f>
        <v>Recurring</v>
      </c>
      <c r="C52" s="32" t="n">
        <f aca="false">'Invoice Sample'!E52</f>
        <v>6866.26</v>
      </c>
      <c r="D52" s="19" t="str">
        <f aca="false">'Invoice Sample'!M52</f>
        <v>Tier 1 ($500-$10K)</v>
      </c>
      <c r="E52" s="19" t="str">
        <f aca="false">'Invoice Sample'!F52</f>
        <v>Net 30</v>
      </c>
      <c r="F52" s="31" t="n">
        <f aca="false">IF(B52="Recurring",'Future-State Model'!E22,'Future-State Model'!E23)</f>
        <v>0.237441860465116</v>
      </c>
      <c r="G52" s="31" t="n">
        <f aca="false">'Future-State Model'!E24</f>
        <v>2.4157</v>
      </c>
      <c r="H52" s="13" t="n">
        <f aca="false">IF(OR(D52="Tier 2 ($10K-$50K)",D52="Tier 3 (&gt;$50K)"),'Future-State Model'!E25,0)</f>
        <v>0</v>
      </c>
      <c r="I52" s="13" t="n">
        <f aca="false">IF(D52="Tier 3 (&gt;$50K)",'Future-State Model'!E26,0)</f>
        <v>0</v>
      </c>
      <c r="J52" s="31" t="n">
        <f aca="false">'Future-State Model'!E27</f>
        <v>0.686</v>
      </c>
      <c r="K52" s="12" t="n">
        <f aca="false">SUM(F52:J52)</f>
        <v>3.33914186046512</v>
      </c>
      <c r="L52" s="13" t="str">
        <f aca="false">IF(E52="2/10 Net 30","Yes","No")</f>
        <v>No</v>
      </c>
      <c r="M52" s="13" t="str">
        <f aca="false">IF(AND(L52="Yes",(F52+G52+H52+I52)&lt;=10),"Yes","No")</f>
        <v>No</v>
      </c>
      <c r="N52" s="13" t="str">
        <f aca="false">IF(K52&gt;30,"Yes","No")</f>
        <v>No</v>
      </c>
      <c r="O52" s="14" t="n">
        <f aca="false">IF(AND(L52="Yes",'Invoice Sample'!O52="No",M52="Yes"),C52*0.02,0)</f>
        <v>0</v>
      </c>
      <c r="P52" s="14" t="n">
        <f aca="false">IF(AND('Invoice Sample'!P52="Yes",N52="No"),C52*0.015,0)</f>
        <v>0</v>
      </c>
    </row>
    <row r="53" customFormat="false" ht="15" hidden="false" customHeight="false" outlineLevel="0" collapsed="false">
      <c r="A53" s="19" t="str">
        <f aca="false">'Invoice Sample'!A53</f>
        <v>INV-2082</v>
      </c>
      <c r="B53" s="19" t="str">
        <f aca="false">'Invoice Sample'!C53</f>
        <v>Recurring</v>
      </c>
      <c r="C53" s="32" t="n">
        <f aca="false">'Invoice Sample'!E53</f>
        <v>436.99</v>
      </c>
      <c r="D53" s="19" t="str">
        <f aca="false">'Invoice Sample'!M53</f>
        <v>Tier 0 (&lt;$500)</v>
      </c>
      <c r="E53" s="19" t="str">
        <f aca="false">'Invoice Sample'!F53</f>
        <v>Net 30</v>
      </c>
      <c r="F53" s="31" t="n">
        <f aca="false">IF(B53="Recurring",'Future-State Model'!E22,'Future-State Model'!E23)</f>
        <v>0.237441860465116</v>
      </c>
      <c r="G53" s="31" t="n">
        <f aca="false">'Future-State Model'!E24</f>
        <v>2.4157</v>
      </c>
      <c r="H53" s="13" t="n">
        <f aca="false">IF(OR(D53="Tier 2 ($10K-$50K)",D53="Tier 3 (&gt;$50K)"),'Future-State Model'!E25,0)</f>
        <v>0</v>
      </c>
      <c r="I53" s="13" t="n">
        <f aca="false">IF(D53="Tier 3 (&gt;$50K)",'Future-State Model'!E26,0)</f>
        <v>0</v>
      </c>
      <c r="J53" s="31" t="n">
        <f aca="false">'Future-State Model'!E27</f>
        <v>0.686</v>
      </c>
      <c r="K53" s="12" t="n">
        <f aca="false">SUM(F53:J53)</f>
        <v>3.33914186046512</v>
      </c>
      <c r="L53" s="13" t="str">
        <f aca="false">IF(E53="2/10 Net 30","Yes","No")</f>
        <v>No</v>
      </c>
      <c r="M53" s="13" t="str">
        <f aca="false">IF(AND(L53="Yes",(F53+G53+H53+I53)&lt;=10),"Yes","No")</f>
        <v>No</v>
      </c>
      <c r="N53" s="13" t="str">
        <f aca="false">IF(K53&gt;30,"Yes","No")</f>
        <v>No</v>
      </c>
      <c r="O53" s="14" t="n">
        <f aca="false">IF(AND(L53="Yes",'Invoice Sample'!O53="No",M53="Yes"),C53*0.02,0)</f>
        <v>0</v>
      </c>
      <c r="P53" s="14" t="n">
        <f aca="false">IF(AND('Invoice Sample'!P53="Yes",N53="No"),C53*0.015,0)</f>
        <v>0</v>
      </c>
    </row>
    <row r="54" customFormat="false" ht="15" hidden="false" customHeight="false" outlineLevel="0" collapsed="false">
      <c r="A54" s="19" t="str">
        <f aca="false">'Invoice Sample'!A54</f>
        <v>INV-2083</v>
      </c>
      <c r="B54" s="19" t="str">
        <f aca="false">'Invoice Sample'!C54</f>
        <v>Recurring</v>
      </c>
      <c r="C54" s="32" t="n">
        <f aca="false">'Invoice Sample'!E54</f>
        <v>31255.91</v>
      </c>
      <c r="D54" s="19" t="str">
        <f aca="false">'Invoice Sample'!M54</f>
        <v>Tier 2 ($10K-$50K)</v>
      </c>
      <c r="E54" s="19" t="str">
        <f aca="false">'Invoice Sample'!F54</f>
        <v>2/10 Net 30</v>
      </c>
      <c r="F54" s="31" t="n">
        <f aca="false">IF(B54="Recurring",'Future-State Model'!E22,'Future-State Model'!E23)</f>
        <v>0.237441860465116</v>
      </c>
      <c r="G54" s="31" t="n">
        <f aca="false">'Future-State Model'!E24</f>
        <v>2.4157</v>
      </c>
      <c r="H54" s="31" t="n">
        <f aca="false">IF(OR(D54="Tier 2 ($10K-$50K)",D54="Tier 3 (&gt;$50K)"),'Future-State Model'!E25,0)</f>
        <v>2.06456565656566</v>
      </c>
      <c r="I54" s="13" t="n">
        <f aca="false">IF(D54="Tier 3 (&gt;$50K)",'Future-State Model'!E26,0)</f>
        <v>0</v>
      </c>
      <c r="J54" s="31" t="n">
        <f aca="false">'Future-State Model'!E27</f>
        <v>0.686</v>
      </c>
      <c r="K54" s="12" t="n">
        <f aca="false">SUM(F54:J54)</f>
        <v>5.40370751703077</v>
      </c>
      <c r="L54" s="13" t="str">
        <f aca="false">IF(E54="2/10 Net 30","Yes","No")</f>
        <v>Yes</v>
      </c>
      <c r="M54" s="13" t="str">
        <f aca="false">IF(AND(L54="Yes",(F54+G54+H54+I54)&lt;=10),"Yes","No")</f>
        <v>Yes</v>
      </c>
      <c r="N54" s="13" t="str">
        <f aca="false">IF(K54&gt;30,"Yes","No")</f>
        <v>No</v>
      </c>
      <c r="O54" s="14" t="n">
        <f aca="false">IF(AND(L54="Yes",'Invoice Sample'!O54="No",M54="Yes"),C54*0.02,0)</f>
        <v>625.1182</v>
      </c>
      <c r="P54" s="14" t="n">
        <f aca="false">IF(AND('Invoice Sample'!P54="Yes",N54="No"),C54*0.015,0)</f>
        <v>0</v>
      </c>
    </row>
    <row r="55" customFormat="false" ht="15" hidden="false" customHeight="false" outlineLevel="0" collapsed="false">
      <c r="A55" s="19" t="str">
        <f aca="false">'Invoice Sample'!A55</f>
        <v>INV-2084</v>
      </c>
      <c r="B55" s="19" t="str">
        <f aca="false">'Invoice Sample'!C55</f>
        <v>Recurring</v>
      </c>
      <c r="C55" s="32" t="n">
        <f aca="false">'Invoice Sample'!E55</f>
        <v>9309.95</v>
      </c>
      <c r="D55" s="19" t="str">
        <f aca="false">'Invoice Sample'!M55</f>
        <v>Tier 1 ($500-$10K)</v>
      </c>
      <c r="E55" s="19" t="str">
        <f aca="false">'Invoice Sample'!F55</f>
        <v>Net 30</v>
      </c>
      <c r="F55" s="31" t="n">
        <f aca="false">IF(B55="Recurring",'Future-State Model'!E22,'Future-State Model'!E23)</f>
        <v>0.237441860465116</v>
      </c>
      <c r="G55" s="31" t="n">
        <f aca="false">'Future-State Model'!E24</f>
        <v>2.4157</v>
      </c>
      <c r="H55" s="13" t="n">
        <f aca="false">IF(OR(D55="Tier 2 ($10K-$50K)",D55="Tier 3 (&gt;$50K)"),'Future-State Model'!E25,0)</f>
        <v>0</v>
      </c>
      <c r="I55" s="13" t="n">
        <f aca="false">IF(D55="Tier 3 (&gt;$50K)",'Future-State Model'!E26,0)</f>
        <v>0</v>
      </c>
      <c r="J55" s="31" t="n">
        <f aca="false">'Future-State Model'!E27</f>
        <v>0.686</v>
      </c>
      <c r="K55" s="12" t="n">
        <f aca="false">SUM(F55:J55)</f>
        <v>3.33914186046512</v>
      </c>
      <c r="L55" s="13" t="str">
        <f aca="false">IF(E55="2/10 Net 30","Yes","No")</f>
        <v>No</v>
      </c>
      <c r="M55" s="13" t="str">
        <f aca="false">IF(AND(L55="Yes",(F55+G55+H55+I55)&lt;=10),"Yes","No")</f>
        <v>No</v>
      </c>
      <c r="N55" s="13" t="str">
        <f aca="false">IF(K55&gt;30,"Yes","No")</f>
        <v>No</v>
      </c>
      <c r="O55" s="14" t="n">
        <f aca="false">IF(AND(L55="Yes",'Invoice Sample'!O55="No",M55="Yes"),C55*0.02,0)</f>
        <v>0</v>
      </c>
      <c r="P55" s="14" t="n">
        <f aca="false">IF(AND('Invoice Sample'!P55="Yes",N55="No"),C55*0.015,0)</f>
        <v>0</v>
      </c>
    </row>
    <row r="56" customFormat="false" ht="15" hidden="false" customHeight="false" outlineLevel="0" collapsed="false">
      <c r="A56" s="19" t="str">
        <f aca="false">'Invoice Sample'!A56</f>
        <v>INV-2085</v>
      </c>
      <c r="B56" s="19" t="str">
        <f aca="false">'Invoice Sample'!C56</f>
        <v>Recurring</v>
      </c>
      <c r="C56" s="32" t="n">
        <f aca="false">'Invoice Sample'!E56</f>
        <v>6392.78</v>
      </c>
      <c r="D56" s="19" t="str">
        <f aca="false">'Invoice Sample'!M56</f>
        <v>Tier 1 ($500-$10K)</v>
      </c>
      <c r="E56" s="19" t="str">
        <f aca="false">'Invoice Sample'!F56</f>
        <v>Net 30</v>
      </c>
      <c r="F56" s="31" t="n">
        <f aca="false">IF(B56="Recurring",'Future-State Model'!E22,'Future-State Model'!E23)</f>
        <v>0.237441860465116</v>
      </c>
      <c r="G56" s="31" t="n">
        <f aca="false">'Future-State Model'!E24</f>
        <v>2.4157</v>
      </c>
      <c r="H56" s="13" t="n">
        <f aca="false">IF(OR(D56="Tier 2 ($10K-$50K)",D56="Tier 3 (&gt;$50K)"),'Future-State Model'!E25,0)</f>
        <v>0</v>
      </c>
      <c r="I56" s="13" t="n">
        <f aca="false">IF(D56="Tier 3 (&gt;$50K)",'Future-State Model'!E26,0)</f>
        <v>0</v>
      </c>
      <c r="J56" s="31" t="n">
        <f aca="false">'Future-State Model'!E27</f>
        <v>0.686</v>
      </c>
      <c r="K56" s="12" t="n">
        <f aca="false">SUM(F56:J56)</f>
        <v>3.33914186046512</v>
      </c>
      <c r="L56" s="13" t="str">
        <f aca="false">IF(E56="2/10 Net 30","Yes","No")</f>
        <v>No</v>
      </c>
      <c r="M56" s="13" t="str">
        <f aca="false">IF(AND(L56="Yes",(F56+G56+H56+I56)&lt;=10),"Yes","No")</f>
        <v>No</v>
      </c>
      <c r="N56" s="13" t="str">
        <f aca="false">IF(K56&gt;30,"Yes","No")</f>
        <v>No</v>
      </c>
      <c r="O56" s="14" t="n">
        <f aca="false">IF(AND(L56="Yes",'Invoice Sample'!O56="No",M56="Yes"),C56*0.02,0)</f>
        <v>0</v>
      </c>
      <c r="P56" s="14" t="n">
        <f aca="false">IF(AND('Invoice Sample'!P56="Yes",N56="No"),C56*0.015,0)</f>
        <v>0</v>
      </c>
    </row>
    <row r="57" customFormat="false" ht="15" hidden="false" customHeight="false" outlineLevel="0" collapsed="false">
      <c r="A57" s="19" t="str">
        <f aca="false">'Invoice Sample'!A57</f>
        <v>INV-2086</v>
      </c>
      <c r="B57" s="19" t="str">
        <f aca="false">'Invoice Sample'!C57</f>
        <v>One-off</v>
      </c>
      <c r="C57" s="32" t="n">
        <f aca="false">'Invoice Sample'!E57</f>
        <v>39295.81</v>
      </c>
      <c r="D57" s="19" t="str">
        <f aca="false">'Invoice Sample'!M57</f>
        <v>Tier 2 ($10K-$50K)</v>
      </c>
      <c r="E57" s="19" t="str">
        <f aca="false">'Invoice Sample'!F57</f>
        <v>Net 30</v>
      </c>
      <c r="F57" s="31" t="n">
        <f aca="false">IF(B57="Recurring",'Future-State Model'!E22,'Future-State Model'!E23)</f>
        <v>1.57352941176471</v>
      </c>
      <c r="G57" s="31" t="n">
        <f aca="false">'Future-State Model'!E24</f>
        <v>2.4157</v>
      </c>
      <c r="H57" s="31" t="n">
        <f aca="false">IF(OR(D57="Tier 2 ($10K-$50K)",D57="Tier 3 (&gt;$50K)"),'Future-State Model'!E25,0)</f>
        <v>2.06456565656566</v>
      </c>
      <c r="I57" s="13" t="n">
        <f aca="false">IF(D57="Tier 3 (&gt;$50K)",'Future-State Model'!E26,0)</f>
        <v>0</v>
      </c>
      <c r="J57" s="31" t="n">
        <f aca="false">'Future-State Model'!E27</f>
        <v>0.686</v>
      </c>
      <c r="K57" s="12" t="n">
        <f aca="false">SUM(F57:J57)</f>
        <v>6.73979506833036</v>
      </c>
      <c r="L57" s="13" t="str">
        <f aca="false">IF(E57="2/10 Net 30","Yes","No")</f>
        <v>No</v>
      </c>
      <c r="M57" s="13" t="str">
        <f aca="false">IF(AND(L57="Yes",(F57+G57+H57+I57)&lt;=10),"Yes","No")</f>
        <v>No</v>
      </c>
      <c r="N57" s="13" t="str">
        <f aca="false">IF(K57&gt;30,"Yes","No")</f>
        <v>No</v>
      </c>
      <c r="O57" s="14" t="n">
        <f aca="false">IF(AND(L57="Yes",'Invoice Sample'!O57="No",M57="Yes"),C57*0.02,0)</f>
        <v>0</v>
      </c>
      <c r="P57" s="14" t="n">
        <f aca="false">IF(AND('Invoice Sample'!P57="Yes",N57="No"),C57*0.015,0)</f>
        <v>0</v>
      </c>
    </row>
    <row r="58" customFormat="false" ht="15" hidden="false" customHeight="false" outlineLevel="0" collapsed="false">
      <c r="A58" s="19" t="str">
        <f aca="false">'Invoice Sample'!A58</f>
        <v>INV-2087</v>
      </c>
      <c r="B58" s="19" t="str">
        <f aca="false">'Invoice Sample'!C58</f>
        <v>Recurring</v>
      </c>
      <c r="C58" s="32" t="n">
        <f aca="false">'Invoice Sample'!E58</f>
        <v>3791.34</v>
      </c>
      <c r="D58" s="19" t="str">
        <f aca="false">'Invoice Sample'!M58</f>
        <v>Tier 1 ($500-$10K)</v>
      </c>
      <c r="E58" s="19" t="str">
        <f aca="false">'Invoice Sample'!F58</f>
        <v>2/10 Net 30</v>
      </c>
      <c r="F58" s="31" t="n">
        <f aca="false">IF(B58="Recurring",'Future-State Model'!E22,'Future-State Model'!E23)</f>
        <v>0.237441860465116</v>
      </c>
      <c r="G58" s="31" t="n">
        <f aca="false">'Future-State Model'!E24</f>
        <v>2.4157</v>
      </c>
      <c r="H58" s="13" t="n">
        <f aca="false">IF(OR(D58="Tier 2 ($10K-$50K)",D58="Tier 3 (&gt;$50K)"),'Future-State Model'!E25,0)</f>
        <v>0</v>
      </c>
      <c r="I58" s="13" t="n">
        <f aca="false">IF(D58="Tier 3 (&gt;$50K)",'Future-State Model'!E26,0)</f>
        <v>0</v>
      </c>
      <c r="J58" s="31" t="n">
        <f aca="false">'Future-State Model'!E27</f>
        <v>0.686</v>
      </c>
      <c r="K58" s="12" t="n">
        <f aca="false">SUM(F58:J58)</f>
        <v>3.33914186046512</v>
      </c>
      <c r="L58" s="13" t="str">
        <f aca="false">IF(E58="2/10 Net 30","Yes","No")</f>
        <v>Yes</v>
      </c>
      <c r="M58" s="13" t="str">
        <f aca="false">IF(AND(L58="Yes",(F58+G58+H58+I58)&lt;=10),"Yes","No")</f>
        <v>Yes</v>
      </c>
      <c r="N58" s="13" t="str">
        <f aca="false">IF(K58&gt;30,"Yes","No")</f>
        <v>No</v>
      </c>
      <c r="O58" s="14" t="n">
        <f aca="false">IF(AND(L58="Yes",'Invoice Sample'!O58="No",M58="Yes"),C58*0.02,0)</f>
        <v>75.8268</v>
      </c>
      <c r="P58" s="14" t="n">
        <f aca="false">IF(AND('Invoice Sample'!P58="Yes",N58="No"),C58*0.015,0)</f>
        <v>0</v>
      </c>
    </row>
    <row r="59" customFormat="false" ht="15" hidden="false" customHeight="false" outlineLevel="0" collapsed="false">
      <c r="A59" s="19" t="str">
        <f aca="false">'Invoice Sample'!A59</f>
        <v>INV-2088</v>
      </c>
      <c r="B59" s="19" t="str">
        <f aca="false">'Invoice Sample'!C59</f>
        <v>One-off</v>
      </c>
      <c r="C59" s="32" t="n">
        <f aca="false">'Invoice Sample'!E59</f>
        <v>8039.19</v>
      </c>
      <c r="D59" s="19" t="str">
        <f aca="false">'Invoice Sample'!M59</f>
        <v>Tier 1 ($500-$10K)</v>
      </c>
      <c r="E59" s="19" t="str">
        <f aca="false">'Invoice Sample'!F59</f>
        <v>2/10 Net 30</v>
      </c>
      <c r="F59" s="31" t="n">
        <f aca="false">IF(B59="Recurring",'Future-State Model'!E22,'Future-State Model'!E23)</f>
        <v>1.57352941176471</v>
      </c>
      <c r="G59" s="31" t="n">
        <f aca="false">'Future-State Model'!E24</f>
        <v>2.4157</v>
      </c>
      <c r="H59" s="13" t="n">
        <f aca="false">IF(OR(D59="Tier 2 ($10K-$50K)",D59="Tier 3 (&gt;$50K)"),'Future-State Model'!E25,0)</f>
        <v>0</v>
      </c>
      <c r="I59" s="13" t="n">
        <f aca="false">IF(D59="Tier 3 (&gt;$50K)",'Future-State Model'!E26,0)</f>
        <v>0</v>
      </c>
      <c r="J59" s="31" t="n">
        <f aca="false">'Future-State Model'!E27</f>
        <v>0.686</v>
      </c>
      <c r="K59" s="12" t="n">
        <f aca="false">SUM(F59:J59)</f>
        <v>4.67522941176471</v>
      </c>
      <c r="L59" s="13" t="str">
        <f aca="false">IF(E59="2/10 Net 30","Yes","No")</f>
        <v>Yes</v>
      </c>
      <c r="M59" s="13" t="str">
        <f aca="false">IF(AND(L59="Yes",(F59+G59+H59+I59)&lt;=10),"Yes","No")</f>
        <v>Yes</v>
      </c>
      <c r="N59" s="13" t="str">
        <f aca="false">IF(K59&gt;30,"Yes","No")</f>
        <v>No</v>
      </c>
      <c r="O59" s="14" t="n">
        <f aca="false">IF(AND(L59="Yes",'Invoice Sample'!O59="No",M59="Yes"),C59*0.02,0)</f>
        <v>160.7838</v>
      </c>
      <c r="P59" s="14" t="n">
        <f aca="false">IF(AND('Invoice Sample'!P59="Yes",N59="No"),C59*0.015,0)</f>
        <v>0</v>
      </c>
    </row>
    <row r="60" customFormat="false" ht="15" hidden="false" customHeight="false" outlineLevel="0" collapsed="false">
      <c r="A60" s="19" t="str">
        <f aca="false">'Invoice Sample'!A60</f>
        <v>INV-2089</v>
      </c>
      <c r="B60" s="19" t="str">
        <f aca="false">'Invoice Sample'!C60</f>
        <v>Recurring</v>
      </c>
      <c r="C60" s="32" t="n">
        <f aca="false">'Invoice Sample'!E60</f>
        <v>125.79</v>
      </c>
      <c r="D60" s="19" t="str">
        <f aca="false">'Invoice Sample'!M60</f>
        <v>Tier 0 (&lt;$500)</v>
      </c>
      <c r="E60" s="19" t="str">
        <f aca="false">'Invoice Sample'!F60</f>
        <v>Net 30</v>
      </c>
      <c r="F60" s="31" t="n">
        <f aca="false">IF(B60="Recurring",'Future-State Model'!E22,'Future-State Model'!E23)</f>
        <v>0.237441860465116</v>
      </c>
      <c r="G60" s="31" t="n">
        <f aca="false">'Future-State Model'!E24</f>
        <v>2.4157</v>
      </c>
      <c r="H60" s="13" t="n">
        <f aca="false">IF(OR(D60="Tier 2 ($10K-$50K)",D60="Tier 3 (&gt;$50K)"),'Future-State Model'!E25,0)</f>
        <v>0</v>
      </c>
      <c r="I60" s="13" t="n">
        <f aca="false">IF(D60="Tier 3 (&gt;$50K)",'Future-State Model'!E26,0)</f>
        <v>0</v>
      </c>
      <c r="J60" s="31" t="n">
        <f aca="false">'Future-State Model'!E27</f>
        <v>0.686</v>
      </c>
      <c r="K60" s="12" t="n">
        <f aca="false">SUM(F60:J60)</f>
        <v>3.33914186046512</v>
      </c>
      <c r="L60" s="13" t="str">
        <f aca="false">IF(E60="2/10 Net 30","Yes","No")</f>
        <v>No</v>
      </c>
      <c r="M60" s="13" t="str">
        <f aca="false">IF(AND(L60="Yes",(F60+G60+H60+I60)&lt;=10),"Yes","No")</f>
        <v>No</v>
      </c>
      <c r="N60" s="13" t="str">
        <f aca="false">IF(K60&gt;30,"Yes","No")</f>
        <v>No</v>
      </c>
      <c r="O60" s="14" t="n">
        <f aca="false">IF(AND(L60="Yes",'Invoice Sample'!O60="No",M60="Yes"),C60*0.02,0)</f>
        <v>0</v>
      </c>
      <c r="P60" s="14" t="n">
        <f aca="false">IF(AND('Invoice Sample'!P60="Yes",N60="No"),C60*0.015,0)</f>
        <v>0</v>
      </c>
    </row>
    <row r="61" customFormat="false" ht="15" hidden="false" customHeight="false" outlineLevel="0" collapsed="false">
      <c r="A61" s="19" t="str">
        <f aca="false">'Invoice Sample'!A61</f>
        <v>INV-2090</v>
      </c>
      <c r="B61" s="19" t="str">
        <f aca="false">'Invoice Sample'!C61</f>
        <v>Recurring</v>
      </c>
      <c r="C61" s="32" t="n">
        <f aca="false">'Invoice Sample'!E61</f>
        <v>100.52</v>
      </c>
      <c r="D61" s="19" t="str">
        <f aca="false">'Invoice Sample'!M61</f>
        <v>Tier 0 (&lt;$500)</v>
      </c>
      <c r="E61" s="19" t="str">
        <f aca="false">'Invoice Sample'!F61</f>
        <v>2/10 Net 30</v>
      </c>
      <c r="F61" s="31" t="n">
        <f aca="false">IF(B61="Recurring",'Future-State Model'!E22,'Future-State Model'!E23)</f>
        <v>0.237441860465116</v>
      </c>
      <c r="G61" s="31" t="n">
        <f aca="false">'Future-State Model'!E24</f>
        <v>2.4157</v>
      </c>
      <c r="H61" s="13" t="n">
        <f aca="false">IF(OR(D61="Tier 2 ($10K-$50K)",D61="Tier 3 (&gt;$50K)"),'Future-State Model'!E25,0)</f>
        <v>0</v>
      </c>
      <c r="I61" s="13" t="n">
        <f aca="false">IF(D61="Tier 3 (&gt;$50K)",'Future-State Model'!E26,0)</f>
        <v>0</v>
      </c>
      <c r="J61" s="31" t="n">
        <f aca="false">'Future-State Model'!E27</f>
        <v>0.686</v>
      </c>
      <c r="K61" s="12" t="n">
        <f aca="false">SUM(F61:J61)</f>
        <v>3.33914186046512</v>
      </c>
      <c r="L61" s="13" t="str">
        <f aca="false">IF(E61="2/10 Net 30","Yes","No")</f>
        <v>Yes</v>
      </c>
      <c r="M61" s="13" t="str">
        <f aca="false">IF(AND(L61="Yes",(F61+G61+H61+I61)&lt;=10),"Yes","No")</f>
        <v>Yes</v>
      </c>
      <c r="N61" s="13" t="str">
        <f aca="false">IF(K61&gt;30,"Yes","No")</f>
        <v>No</v>
      </c>
      <c r="O61" s="14" t="n">
        <f aca="false">IF(AND(L61="Yes",'Invoice Sample'!O61="No",M61="Yes"),C61*0.02,0)</f>
        <v>0</v>
      </c>
      <c r="P61" s="14" t="n">
        <f aca="false">IF(AND('Invoice Sample'!P61="Yes",N61="No"),C61*0.015,0)</f>
        <v>0</v>
      </c>
    </row>
    <row r="62" customFormat="false" ht="15" hidden="false" customHeight="false" outlineLevel="0" collapsed="false">
      <c r="A62" s="19" t="str">
        <f aca="false">'Invoice Sample'!A62</f>
        <v>INV-2091</v>
      </c>
      <c r="B62" s="19" t="str">
        <f aca="false">'Invoice Sample'!C62</f>
        <v>Recurring</v>
      </c>
      <c r="C62" s="32" t="n">
        <f aca="false">'Invoice Sample'!E62</f>
        <v>781.24</v>
      </c>
      <c r="D62" s="19" t="str">
        <f aca="false">'Invoice Sample'!M62</f>
        <v>Tier 1 ($500-$10K)</v>
      </c>
      <c r="E62" s="19" t="str">
        <f aca="false">'Invoice Sample'!F62</f>
        <v>Net 30</v>
      </c>
      <c r="F62" s="31" t="n">
        <f aca="false">IF(B62="Recurring",'Future-State Model'!E22,'Future-State Model'!E23)</f>
        <v>0.237441860465116</v>
      </c>
      <c r="G62" s="31" t="n">
        <f aca="false">'Future-State Model'!E24</f>
        <v>2.4157</v>
      </c>
      <c r="H62" s="13" t="n">
        <f aca="false">IF(OR(D62="Tier 2 ($10K-$50K)",D62="Tier 3 (&gt;$50K)"),'Future-State Model'!E25,0)</f>
        <v>0</v>
      </c>
      <c r="I62" s="13" t="n">
        <f aca="false">IF(D62="Tier 3 (&gt;$50K)",'Future-State Model'!E26,0)</f>
        <v>0</v>
      </c>
      <c r="J62" s="31" t="n">
        <f aca="false">'Future-State Model'!E27</f>
        <v>0.686</v>
      </c>
      <c r="K62" s="12" t="n">
        <f aca="false">SUM(F62:J62)</f>
        <v>3.33914186046512</v>
      </c>
      <c r="L62" s="13" t="str">
        <f aca="false">IF(E62="2/10 Net 30","Yes","No")</f>
        <v>No</v>
      </c>
      <c r="M62" s="13" t="str">
        <f aca="false">IF(AND(L62="Yes",(F62+G62+H62+I62)&lt;=10),"Yes","No")</f>
        <v>No</v>
      </c>
      <c r="N62" s="13" t="str">
        <f aca="false">IF(K62&gt;30,"Yes","No")</f>
        <v>No</v>
      </c>
      <c r="O62" s="14" t="n">
        <f aca="false">IF(AND(L62="Yes",'Invoice Sample'!O62="No",M62="Yes"),C62*0.02,0)</f>
        <v>0</v>
      </c>
      <c r="P62" s="14" t="n">
        <f aca="false">IF(AND('Invoice Sample'!P62="Yes",N62="No"),C62*0.015,0)</f>
        <v>0</v>
      </c>
    </row>
    <row r="63" customFormat="false" ht="15" hidden="false" customHeight="false" outlineLevel="0" collapsed="false">
      <c r="A63" s="19" t="str">
        <f aca="false">'Invoice Sample'!A63</f>
        <v>INV-2092</v>
      </c>
      <c r="B63" s="19" t="str">
        <f aca="false">'Invoice Sample'!C63</f>
        <v>One-off</v>
      </c>
      <c r="C63" s="32" t="n">
        <f aca="false">'Invoice Sample'!E63</f>
        <v>6107.45</v>
      </c>
      <c r="D63" s="19" t="str">
        <f aca="false">'Invoice Sample'!M63</f>
        <v>Tier 1 ($500-$10K)</v>
      </c>
      <c r="E63" s="19" t="str">
        <f aca="false">'Invoice Sample'!F63</f>
        <v>2/10 Net 30</v>
      </c>
      <c r="F63" s="31" t="n">
        <f aca="false">IF(B63="Recurring",'Future-State Model'!E22,'Future-State Model'!E23)</f>
        <v>1.57352941176471</v>
      </c>
      <c r="G63" s="31" t="n">
        <f aca="false">'Future-State Model'!E24</f>
        <v>2.4157</v>
      </c>
      <c r="H63" s="13" t="n">
        <f aca="false">IF(OR(D63="Tier 2 ($10K-$50K)",D63="Tier 3 (&gt;$50K)"),'Future-State Model'!E25,0)</f>
        <v>0</v>
      </c>
      <c r="I63" s="13" t="n">
        <f aca="false">IF(D63="Tier 3 (&gt;$50K)",'Future-State Model'!E26,0)</f>
        <v>0</v>
      </c>
      <c r="J63" s="31" t="n">
        <f aca="false">'Future-State Model'!E27</f>
        <v>0.686</v>
      </c>
      <c r="K63" s="12" t="n">
        <f aca="false">SUM(F63:J63)</f>
        <v>4.67522941176471</v>
      </c>
      <c r="L63" s="13" t="str">
        <f aca="false">IF(E63="2/10 Net 30","Yes","No")</f>
        <v>Yes</v>
      </c>
      <c r="M63" s="13" t="str">
        <f aca="false">IF(AND(L63="Yes",(F63+G63+H63+I63)&lt;=10),"Yes","No")</f>
        <v>Yes</v>
      </c>
      <c r="N63" s="13" t="str">
        <f aca="false">IF(K63&gt;30,"Yes","No")</f>
        <v>No</v>
      </c>
      <c r="O63" s="14" t="n">
        <f aca="false">IF(AND(L63="Yes",'Invoice Sample'!O63="No",M63="Yes"),C63*0.02,0)</f>
        <v>122.149</v>
      </c>
      <c r="P63" s="14" t="n">
        <f aca="false">IF(AND('Invoice Sample'!P63="Yes",N63="No"),C63*0.015,0)</f>
        <v>0</v>
      </c>
    </row>
    <row r="64" customFormat="false" ht="15" hidden="false" customHeight="false" outlineLevel="0" collapsed="false">
      <c r="A64" s="19" t="str">
        <f aca="false">'Invoice Sample'!A64</f>
        <v>INV-2093</v>
      </c>
      <c r="B64" s="19" t="str">
        <f aca="false">'Invoice Sample'!C64</f>
        <v>Recurring</v>
      </c>
      <c r="C64" s="32" t="n">
        <f aca="false">'Invoice Sample'!E64</f>
        <v>9987.06</v>
      </c>
      <c r="D64" s="19" t="str">
        <f aca="false">'Invoice Sample'!M64</f>
        <v>Tier 1 ($500-$10K)</v>
      </c>
      <c r="E64" s="19" t="str">
        <f aca="false">'Invoice Sample'!F64</f>
        <v>2/10 Net 30</v>
      </c>
      <c r="F64" s="31" t="n">
        <f aca="false">IF(B64="Recurring",'Future-State Model'!E22,'Future-State Model'!E23)</f>
        <v>0.237441860465116</v>
      </c>
      <c r="G64" s="31" t="n">
        <f aca="false">'Future-State Model'!E24</f>
        <v>2.4157</v>
      </c>
      <c r="H64" s="13" t="n">
        <f aca="false">IF(OR(D64="Tier 2 ($10K-$50K)",D64="Tier 3 (&gt;$50K)"),'Future-State Model'!E25,0)</f>
        <v>0</v>
      </c>
      <c r="I64" s="13" t="n">
        <f aca="false">IF(D64="Tier 3 (&gt;$50K)",'Future-State Model'!E26,0)</f>
        <v>0</v>
      </c>
      <c r="J64" s="31" t="n">
        <f aca="false">'Future-State Model'!E27</f>
        <v>0.686</v>
      </c>
      <c r="K64" s="12" t="n">
        <f aca="false">SUM(F64:J64)</f>
        <v>3.33914186046512</v>
      </c>
      <c r="L64" s="13" t="str">
        <f aca="false">IF(E64="2/10 Net 30","Yes","No")</f>
        <v>Yes</v>
      </c>
      <c r="M64" s="13" t="str">
        <f aca="false">IF(AND(L64="Yes",(F64+G64+H64+I64)&lt;=10),"Yes","No")</f>
        <v>Yes</v>
      </c>
      <c r="N64" s="13" t="str">
        <f aca="false">IF(K64&gt;30,"Yes","No")</f>
        <v>No</v>
      </c>
      <c r="O64" s="14" t="n">
        <f aca="false">IF(AND(L64="Yes",'Invoice Sample'!O64="No",M64="Yes"),C64*0.02,0)</f>
        <v>199.7412</v>
      </c>
      <c r="P64" s="14" t="n">
        <f aca="false">IF(AND('Invoice Sample'!P64="Yes",N64="No"),C64*0.015,0)</f>
        <v>0</v>
      </c>
    </row>
    <row r="65" customFormat="false" ht="15" hidden="false" customHeight="false" outlineLevel="0" collapsed="false">
      <c r="A65" s="19" t="str">
        <f aca="false">'Invoice Sample'!A65</f>
        <v>INV-2094</v>
      </c>
      <c r="B65" s="19" t="str">
        <f aca="false">'Invoice Sample'!C65</f>
        <v>One-off</v>
      </c>
      <c r="C65" s="32" t="n">
        <f aca="false">'Invoice Sample'!E65</f>
        <v>15374.54</v>
      </c>
      <c r="D65" s="19" t="str">
        <f aca="false">'Invoice Sample'!M65</f>
        <v>Tier 2 ($10K-$50K)</v>
      </c>
      <c r="E65" s="19" t="str">
        <f aca="false">'Invoice Sample'!F65</f>
        <v>2/10 Net 30</v>
      </c>
      <c r="F65" s="31" t="n">
        <f aca="false">IF(B65="Recurring",'Future-State Model'!E22,'Future-State Model'!E23)</f>
        <v>1.57352941176471</v>
      </c>
      <c r="G65" s="31" t="n">
        <f aca="false">'Future-State Model'!E24</f>
        <v>2.4157</v>
      </c>
      <c r="H65" s="31" t="n">
        <f aca="false">IF(OR(D65="Tier 2 ($10K-$50K)",D65="Tier 3 (&gt;$50K)"),'Future-State Model'!E25,0)</f>
        <v>2.06456565656566</v>
      </c>
      <c r="I65" s="13" t="n">
        <f aca="false">IF(D65="Tier 3 (&gt;$50K)",'Future-State Model'!E26,0)</f>
        <v>0</v>
      </c>
      <c r="J65" s="31" t="n">
        <f aca="false">'Future-State Model'!E27</f>
        <v>0.686</v>
      </c>
      <c r="K65" s="12" t="n">
        <f aca="false">SUM(F65:J65)</f>
        <v>6.73979506833036</v>
      </c>
      <c r="L65" s="13" t="str">
        <f aca="false">IF(E65="2/10 Net 30","Yes","No")</f>
        <v>Yes</v>
      </c>
      <c r="M65" s="13" t="str">
        <f aca="false">IF(AND(L65="Yes",(F65+G65+H65+I65)&lt;=10),"Yes","No")</f>
        <v>Yes</v>
      </c>
      <c r="N65" s="13" t="str">
        <f aca="false">IF(K65&gt;30,"Yes","No")</f>
        <v>No</v>
      </c>
      <c r="O65" s="14" t="n">
        <f aca="false">IF(AND(L65="Yes",'Invoice Sample'!O65="No",M65="Yes"),C65*0.02,0)</f>
        <v>307.4908</v>
      </c>
      <c r="P65" s="14" t="n">
        <f aca="false">IF(AND('Invoice Sample'!P65="Yes",N65="No"),C65*0.015,0)</f>
        <v>0</v>
      </c>
    </row>
    <row r="66" customFormat="false" ht="15" hidden="false" customHeight="false" outlineLevel="0" collapsed="false">
      <c r="A66" s="19" t="str">
        <f aca="false">'Invoice Sample'!A66</f>
        <v>INV-2095</v>
      </c>
      <c r="B66" s="19" t="str">
        <f aca="false">'Invoice Sample'!C66</f>
        <v>Recurring</v>
      </c>
      <c r="C66" s="32" t="n">
        <f aca="false">'Invoice Sample'!E66</f>
        <v>9611.53</v>
      </c>
      <c r="D66" s="19" t="str">
        <f aca="false">'Invoice Sample'!M66</f>
        <v>Tier 1 ($500-$10K)</v>
      </c>
      <c r="E66" s="19" t="str">
        <f aca="false">'Invoice Sample'!F66</f>
        <v>Net 30</v>
      </c>
      <c r="F66" s="31" t="n">
        <f aca="false">IF(B66="Recurring",'Future-State Model'!E22,'Future-State Model'!E23)</f>
        <v>0.237441860465116</v>
      </c>
      <c r="G66" s="31" t="n">
        <f aca="false">'Future-State Model'!E24</f>
        <v>2.4157</v>
      </c>
      <c r="H66" s="13" t="n">
        <f aca="false">IF(OR(D66="Tier 2 ($10K-$50K)",D66="Tier 3 (&gt;$50K)"),'Future-State Model'!E25,0)</f>
        <v>0</v>
      </c>
      <c r="I66" s="13" t="n">
        <f aca="false">IF(D66="Tier 3 (&gt;$50K)",'Future-State Model'!E26,0)</f>
        <v>0</v>
      </c>
      <c r="J66" s="31" t="n">
        <f aca="false">'Future-State Model'!E27</f>
        <v>0.686</v>
      </c>
      <c r="K66" s="12" t="n">
        <f aca="false">SUM(F66:J66)</f>
        <v>3.33914186046512</v>
      </c>
      <c r="L66" s="13" t="str">
        <f aca="false">IF(E66="2/10 Net 30","Yes","No")</f>
        <v>No</v>
      </c>
      <c r="M66" s="13" t="str">
        <f aca="false">IF(AND(L66="Yes",(F66+G66+H66+I66)&lt;=10),"Yes","No")</f>
        <v>No</v>
      </c>
      <c r="N66" s="13" t="str">
        <f aca="false">IF(K66&gt;30,"Yes","No")</f>
        <v>No</v>
      </c>
      <c r="O66" s="14" t="n">
        <f aca="false">IF(AND(L66="Yes",'Invoice Sample'!O66="No",M66="Yes"),C66*0.02,0)</f>
        <v>0</v>
      </c>
      <c r="P66" s="14" t="n">
        <f aca="false">IF(AND('Invoice Sample'!P66="Yes",N66="No"),C66*0.015,0)</f>
        <v>0</v>
      </c>
    </row>
    <row r="67" customFormat="false" ht="15" hidden="false" customHeight="false" outlineLevel="0" collapsed="false">
      <c r="A67" s="19" t="str">
        <f aca="false">'Invoice Sample'!A67</f>
        <v>INV-2096</v>
      </c>
      <c r="B67" s="19" t="str">
        <f aca="false">'Invoice Sample'!C67</f>
        <v>One-off</v>
      </c>
      <c r="C67" s="32" t="n">
        <f aca="false">'Invoice Sample'!E67</f>
        <v>7551.28</v>
      </c>
      <c r="D67" s="19" t="str">
        <f aca="false">'Invoice Sample'!M67</f>
        <v>Tier 1 ($500-$10K)</v>
      </c>
      <c r="E67" s="19" t="str">
        <f aca="false">'Invoice Sample'!F67</f>
        <v>Net 30</v>
      </c>
      <c r="F67" s="31" t="n">
        <f aca="false">IF(B67="Recurring",'Future-State Model'!E22,'Future-State Model'!E23)</f>
        <v>1.57352941176471</v>
      </c>
      <c r="G67" s="31" t="n">
        <f aca="false">'Future-State Model'!E24</f>
        <v>2.4157</v>
      </c>
      <c r="H67" s="13" t="n">
        <f aca="false">IF(OR(D67="Tier 2 ($10K-$50K)",D67="Tier 3 (&gt;$50K)"),'Future-State Model'!E25,0)</f>
        <v>0</v>
      </c>
      <c r="I67" s="13" t="n">
        <f aca="false">IF(D67="Tier 3 (&gt;$50K)",'Future-State Model'!E26,0)</f>
        <v>0</v>
      </c>
      <c r="J67" s="31" t="n">
        <f aca="false">'Future-State Model'!E27</f>
        <v>0.686</v>
      </c>
      <c r="K67" s="12" t="n">
        <f aca="false">SUM(F67:J67)</f>
        <v>4.67522941176471</v>
      </c>
      <c r="L67" s="13" t="str">
        <f aca="false">IF(E67="2/10 Net 30","Yes","No")</f>
        <v>No</v>
      </c>
      <c r="M67" s="13" t="str">
        <f aca="false">IF(AND(L67="Yes",(F67+G67+H67+I67)&lt;=10),"Yes","No")</f>
        <v>No</v>
      </c>
      <c r="N67" s="13" t="str">
        <f aca="false">IF(K67&gt;30,"Yes","No")</f>
        <v>No</v>
      </c>
      <c r="O67" s="14" t="n">
        <f aca="false">IF(AND(L67="Yes",'Invoice Sample'!O67="No",M67="Yes"),C67*0.02,0)</f>
        <v>0</v>
      </c>
      <c r="P67" s="14" t="n">
        <f aca="false">IF(AND('Invoice Sample'!P67="Yes",N67="No"),C67*0.015,0)</f>
        <v>0</v>
      </c>
    </row>
    <row r="68" customFormat="false" ht="15" hidden="false" customHeight="false" outlineLevel="0" collapsed="false">
      <c r="A68" s="19" t="str">
        <f aca="false">'Invoice Sample'!A68</f>
        <v>INV-2097</v>
      </c>
      <c r="B68" s="19" t="str">
        <f aca="false">'Invoice Sample'!C68</f>
        <v>One-off</v>
      </c>
      <c r="C68" s="32" t="n">
        <f aca="false">'Invoice Sample'!E68</f>
        <v>5833.59</v>
      </c>
      <c r="D68" s="19" t="str">
        <f aca="false">'Invoice Sample'!M68</f>
        <v>Tier 1 ($500-$10K)</v>
      </c>
      <c r="E68" s="19" t="str">
        <f aca="false">'Invoice Sample'!F68</f>
        <v>Net 30</v>
      </c>
      <c r="F68" s="31" t="n">
        <f aca="false">IF(B68="Recurring",'Future-State Model'!E22,'Future-State Model'!E23)</f>
        <v>1.57352941176471</v>
      </c>
      <c r="G68" s="31" t="n">
        <f aca="false">'Future-State Model'!E24</f>
        <v>2.4157</v>
      </c>
      <c r="H68" s="13" t="n">
        <f aca="false">IF(OR(D68="Tier 2 ($10K-$50K)",D68="Tier 3 (&gt;$50K)"),'Future-State Model'!E25,0)</f>
        <v>0</v>
      </c>
      <c r="I68" s="13" t="n">
        <f aca="false">IF(D68="Tier 3 (&gt;$50K)",'Future-State Model'!E26,0)</f>
        <v>0</v>
      </c>
      <c r="J68" s="31" t="n">
        <f aca="false">'Future-State Model'!E27</f>
        <v>0.686</v>
      </c>
      <c r="K68" s="12" t="n">
        <f aca="false">SUM(F68:J68)</f>
        <v>4.67522941176471</v>
      </c>
      <c r="L68" s="13" t="str">
        <f aca="false">IF(E68="2/10 Net 30","Yes","No")</f>
        <v>No</v>
      </c>
      <c r="M68" s="13" t="str">
        <f aca="false">IF(AND(L68="Yes",(F68+G68+H68+I68)&lt;=10),"Yes","No")</f>
        <v>No</v>
      </c>
      <c r="N68" s="13" t="str">
        <f aca="false">IF(K68&gt;30,"Yes","No")</f>
        <v>No</v>
      </c>
      <c r="O68" s="14" t="n">
        <f aca="false">IF(AND(L68="Yes",'Invoice Sample'!O68="No",M68="Yes"),C68*0.02,0)</f>
        <v>0</v>
      </c>
      <c r="P68" s="14" t="n">
        <f aca="false">IF(AND('Invoice Sample'!P68="Yes",N68="No"),C68*0.015,0)</f>
        <v>0</v>
      </c>
    </row>
    <row r="69" customFormat="false" ht="15" hidden="false" customHeight="false" outlineLevel="0" collapsed="false">
      <c r="A69" s="19" t="str">
        <f aca="false">'Invoice Sample'!A69</f>
        <v>INV-2098</v>
      </c>
      <c r="B69" s="19" t="str">
        <f aca="false">'Invoice Sample'!C69</f>
        <v>One-off</v>
      </c>
      <c r="C69" s="32" t="n">
        <f aca="false">'Invoice Sample'!E69</f>
        <v>7981.32</v>
      </c>
      <c r="D69" s="19" t="str">
        <f aca="false">'Invoice Sample'!M69</f>
        <v>Tier 1 ($500-$10K)</v>
      </c>
      <c r="E69" s="19" t="str">
        <f aca="false">'Invoice Sample'!F69</f>
        <v>2/10 Net 30</v>
      </c>
      <c r="F69" s="31" t="n">
        <f aca="false">IF(B69="Recurring",'Future-State Model'!E22,'Future-State Model'!E23)</f>
        <v>1.57352941176471</v>
      </c>
      <c r="G69" s="31" t="n">
        <f aca="false">'Future-State Model'!E24</f>
        <v>2.4157</v>
      </c>
      <c r="H69" s="13" t="n">
        <f aca="false">IF(OR(D69="Tier 2 ($10K-$50K)",D69="Tier 3 (&gt;$50K)"),'Future-State Model'!E25,0)</f>
        <v>0</v>
      </c>
      <c r="I69" s="13" t="n">
        <f aca="false">IF(D69="Tier 3 (&gt;$50K)",'Future-State Model'!E26,0)</f>
        <v>0</v>
      </c>
      <c r="J69" s="31" t="n">
        <f aca="false">'Future-State Model'!E27</f>
        <v>0.686</v>
      </c>
      <c r="K69" s="12" t="n">
        <f aca="false">SUM(F69:J69)</f>
        <v>4.67522941176471</v>
      </c>
      <c r="L69" s="13" t="str">
        <f aca="false">IF(E69="2/10 Net 30","Yes","No")</f>
        <v>Yes</v>
      </c>
      <c r="M69" s="13" t="str">
        <f aca="false">IF(AND(L69="Yes",(F69+G69+H69+I69)&lt;=10),"Yes","No")</f>
        <v>Yes</v>
      </c>
      <c r="N69" s="13" t="str">
        <f aca="false">IF(K69&gt;30,"Yes","No")</f>
        <v>No</v>
      </c>
      <c r="O69" s="14" t="n">
        <f aca="false">IF(AND(L69="Yes",'Invoice Sample'!O69="No",M69="Yes"),C69*0.02,0)</f>
        <v>159.6264</v>
      </c>
      <c r="P69" s="14" t="n">
        <f aca="false">IF(AND('Invoice Sample'!P69="Yes",N69="No"),C69*0.015,0)</f>
        <v>0</v>
      </c>
    </row>
    <row r="70" customFormat="false" ht="15" hidden="false" customHeight="false" outlineLevel="0" collapsed="false">
      <c r="A70" s="19" t="str">
        <f aca="false">'Invoice Sample'!A70</f>
        <v>INV-2099</v>
      </c>
      <c r="B70" s="19" t="str">
        <f aca="false">'Invoice Sample'!C70</f>
        <v>Recurring</v>
      </c>
      <c r="C70" s="32" t="n">
        <f aca="false">'Invoice Sample'!E70</f>
        <v>482.15</v>
      </c>
      <c r="D70" s="19" t="str">
        <f aca="false">'Invoice Sample'!M70</f>
        <v>Tier 0 (&lt;$500)</v>
      </c>
      <c r="E70" s="19" t="str">
        <f aca="false">'Invoice Sample'!F70</f>
        <v>2/10 Net 30</v>
      </c>
      <c r="F70" s="31" t="n">
        <f aca="false">IF(B70="Recurring",'Future-State Model'!E22,'Future-State Model'!E23)</f>
        <v>0.237441860465116</v>
      </c>
      <c r="G70" s="31" t="n">
        <f aca="false">'Future-State Model'!E24</f>
        <v>2.4157</v>
      </c>
      <c r="H70" s="13" t="n">
        <f aca="false">IF(OR(D70="Tier 2 ($10K-$50K)",D70="Tier 3 (&gt;$50K)"),'Future-State Model'!E25,0)</f>
        <v>0</v>
      </c>
      <c r="I70" s="13" t="n">
        <f aca="false">IF(D70="Tier 3 (&gt;$50K)",'Future-State Model'!E26,0)</f>
        <v>0</v>
      </c>
      <c r="J70" s="31" t="n">
        <f aca="false">'Future-State Model'!E27</f>
        <v>0.686</v>
      </c>
      <c r="K70" s="12" t="n">
        <f aca="false">SUM(F70:J70)</f>
        <v>3.33914186046512</v>
      </c>
      <c r="L70" s="13" t="str">
        <f aca="false">IF(E70="2/10 Net 30","Yes","No")</f>
        <v>Yes</v>
      </c>
      <c r="M70" s="13" t="str">
        <f aca="false">IF(AND(L70="Yes",(F70+G70+H70+I70)&lt;=10),"Yes","No")</f>
        <v>Yes</v>
      </c>
      <c r="N70" s="13" t="str">
        <f aca="false">IF(K70&gt;30,"Yes","No")</f>
        <v>No</v>
      </c>
      <c r="O70" s="14" t="n">
        <f aca="false">IF(AND(L70="Yes",'Invoice Sample'!O70="No",M70="Yes"),C70*0.02,0)</f>
        <v>0</v>
      </c>
      <c r="P70" s="14" t="n">
        <f aca="false">IF(AND('Invoice Sample'!P70="Yes",N70="No"),C70*0.015,0)</f>
        <v>0</v>
      </c>
    </row>
    <row r="71" customFormat="false" ht="15" hidden="false" customHeight="false" outlineLevel="0" collapsed="false">
      <c r="A71" s="19" t="str">
        <f aca="false">'Invoice Sample'!A71</f>
        <v>INV-2100</v>
      </c>
      <c r="B71" s="19" t="str">
        <f aca="false">'Invoice Sample'!C71</f>
        <v>Recurring</v>
      </c>
      <c r="C71" s="32" t="n">
        <f aca="false">'Invoice Sample'!E71</f>
        <v>3469.1</v>
      </c>
      <c r="D71" s="19" t="str">
        <f aca="false">'Invoice Sample'!M71</f>
        <v>Tier 1 ($500-$10K)</v>
      </c>
      <c r="E71" s="19" t="str">
        <f aca="false">'Invoice Sample'!F71</f>
        <v>2/10 Net 30</v>
      </c>
      <c r="F71" s="31" t="n">
        <f aca="false">IF(B71="Recurring",'Future-State Model'!E22,'Future-State Model'!E23)</f>
        <v>0.237441860465116</v>
      </c>
      <c r="G71" s="31" t="n">
        <f aca="false">'Future-State Model'!E24</f>
        <v>2.4157</v>
      </c>
      <c r="H71" s="13" t="n">
        <f aca="false">IF(OR(D71="Tier 2 ($10K-$50K)",D71="Tier 3 (&gt;$50K)"),'Future-State Model'!E25,0)</f>
        <v>0</v>
      </c>
      <c r="I71" s="13" t="n">
        <f aca="false">IF(D71="Tier 3 (&gt;$50K)",'Future-State Model'!E26,0)</f>
        <v>0</v>
      </c>
      <c r="J71" s="31" t="n">
        <f aca="false">'Future-State Model'!E27</f>
        <v>0.686</v>
      </c>
      <c r="K71" s="12" t="n">
        <f aca="false">SUM(F71:J71)</f>
        <v>3.33914186046512</v>
      </c>
      <c r="L71" s="13" t="str">
        <f aca="false">IF(E71="2/10 Net 30","Yes","No")</f>
        <v>Yes</v>
      </c>
      <c r="M71" s="13" t="str">
        <f aca="false">IF(AND(L71="Yes",(F71+G71+H71+I71)&lt;=10),"Yes","No")</f>
        <v>Yes</v>
      </c>
      <c r="N71" s="13" t="str">
        <f aca="false">IF(K71&gt;30,"Yes","No")</f>
        <v>No</v>
      </c>
      <c r="O71" s="14" t="n">
        <f aca="false">IF(AND(L71="Yes",'Invoice Sample'!O71="No",M71="Yes"),C71*0.02,0)</f>
        <v>69.382</v>
      </c>
      <c r="P71" s="14" t="n">
        <f aca="false">IF(AND('Invoice Sample'!P71="Yes",N71="No"),C71*0.015,0)</f>
        <v>0</v>
      </c>
    </row>
    <row r="72" customFormat="false" ht="15" hidden="false" customHeight="false" outlineLevel="0" collapsed="false">
      <c r="A72" s="19" t="str">
        <f aca="false">'Invoice Sample'!A72</f>
        <v>INV-2101</v>
      </c>
      <c r="B72" s="19" t="str">
        <f aca="false">'Invoice Sample'!C72</f>
        <v>Recurring</v>
      </c>
      <c r="C72" s="32" t="n">
        <f aca="false">'Invoice Sample'!E72</f>
        <v>4457.37</v>
      </c>
      <c r="D72" s="19" t="str">
        <f aca="false">'Invoice Sample'!M72</f>
        <v>Tier 1 ($500-$10K)</v>
      </c>
      <c r="E72" s="19" t="str">
        <f aca="false">'Invoice Sample'!F72</f>
        <v>2/10 Net 30</v>
      </c>
      <c r="F72" s="31" t="n">
        <f aca="false">IF(B72="Recurring",'Future-State Model'!E22,'Future-State Model'!E23)</f>
        <v>0.237441860465116</v>
      </c>
      <c r="G72" s="31" t="n">
        <f aca="false">'Future-State Model'!E24</f>
        <v>2.4157</v>
      </c>
      <c r="H72" s="13" t="n">
        <f aca="false">IF(OR(D72="Tier 2 ($10K-$50K)",D72="Tier 3 (&gt;$50K)"),'Future-State Model'!E25,0)</f>
        <v>0</v>
      </c>
      <c r="I72" s="13" t="n">
        <f aca="false">IF(D72="Tier 3 (&gt;$50K)",'Future-State Model'!E26,0)</f>
        <v>0</v>
      </c>
      <c r="J72" s="31" t="n">
        <f aca="false">'Future-State Model'!E27</f>
        <v>0.686</v>
      </c>
      <c r="K72" s="12" t="n">
        <f aca="false">SUM(F72:J72)</f>
        <v>3.33914186046512</v>
      </c>
      <c r="L72" s="13" t="str">
        <f aca="false">IF(E72="2/10 Net 30","Yes","No")</f>
        <v>Yes</v>
      </c>
      <c r="M72" s="13" t="str">
        <f aca="false">IF(AND(L72="Yes",(F72+G72+H72+I72)&lt;=10),"Yes","No")</f>
        <v>Yes</v>
      </c>
      <c r="N72" s="13" t="str">
        <f aca="false">IF(K72&gt;30,"Yes","No")</f>
        <v>No</v>
      </c>
      <c r="O72" s="14" t="n">
        <f aca="false">IF(AND(L72="Yes",'Invoice Sample'!O72="No",M72="Yes"),C72*0.02,0)</f>
        <v>89.1474</v>
      </c>
      <c r="P72" s="14" t="n">
        <f aca="false">IF(AND('Invoice Sample'!P72="Yes",N72="No"),C72*0.015,0)</f>
        <v>0</v>
      </c>
    </row>
    <row r="73" customFormat="false" ht="15" hidden="false" customHeight="false" outlineLevel="0" collapsed="false">
      <c r="A73" s="19" t="str">
        <f aca="false">'Invoice Sample'!A73</f>
        <v>INV-2102</v>
      </c>
      <c r="B73" s="19" t="str">
        <f aca="false">'Invoice Sample'!C73</f>
        <v>Recurring</v>
      </c>
      <c r="C73" s="32" t="n">
        <f aca="false">'Invoice Sample'!E73</f>
        <v>7914.74</v>
      </c>
      <c r="D73" s="19" t="str">
        <f aca="false">'Invoice Sample'!M73</f>
        <v>Tier 1 ($500-$10K)</v>
      </c>
      <c r="E73" s="19" t="str">
        <f aca="false">'Invoice Sample'!F73</f>
        <v>Net 30</v>
      </c>
      <c r="F73" s="31" t="n">
        <f aca="false">IF(B73="Recurring",'Future-State Model'!E22,'Future-State Model'!E23)</f>
        <v>0.237441860465116</v>
      </c>
      <c r="G73" s="31" t="n">
        <f aca="false">'Future-State Model'!E24</f>
        <v>2.4157</v>
      </c>
      <c r="H73" s="13" t="n">
        <f aca="false">IF(OR(D73="Tier 2 ($10K-$50K)",D73="Tier 3 (&gt;$50K)"),'Future-State Model'!E25,0)</f>
        <v>0</v>
      </c>
      <c r="I73" s="13" t="n">
        <f aca="false">IF(D73="Tier 3 (&gt;$50K)",'Future-State Model'!E26,0)</f>
        <v>0</v>
      </c>
      <c r="J73" s="31" t="n">
        <f aca="false">'Future-State Model'!E27</f>
        <v>0.686</v>
      </c>
      <c r="K73" s="12" t="n">
        <f aca="false">SUM(F73:J73)</f>
        <v>3.33914186046512</v>
      </c>
      <c r="L73" s="13" t="str">
        <f aca="false">IF(E73="2/10 Net 30","Yes","No")</f>
        <v>No</v>
      </c>
      <c r="M73" s="13" t="str">
        <f aca="false">IF(AND(L73="Yes",(F73+G73+H73+I73)&lt;=10),"Yes","No")</f>
        <v>No</v>
      </c>
      <c r="N73" s="13" t="str">
        <f aca="false">IF(K73&gt;30,"Yes","No")</f>
        <v>No</v>
      </c>
      <c r="O73" s="14" t="n">
        <f aca="false">IF(AND(L73="Yes",'Invoice Sample'!O73="No",M73="Yes"),C73*0.02,0)</f>
        <v>0</v>
      </c>
      <c r="P73" s="14" t="n">
        <f aca="false">IF(AND('Invoice Sample'!P73="Yes",N73="No"),C73*0.015,0)</f>
        <v>0</v>
      </c>
    </row>
    <row r="74" customFormat="false" ht="15" hidden="false" customHeight="false" outlineLevel="0" collapsed="false">
      <c r="A74" s="19" t="str">
        <f aca="false">'Invoice Sample'!A74</f>
        <v>INV-2103</v>
      </c>
      <c r="B74" s="19" t="str">
        <f aca="false">'Invoice Sample'!C74</f>
        <v>Recurring</v>
      </c>
      <c r="C74" s="32" t="n">
        <f aca="false">'Invoice Sample'!E74</f>
        <v>47214.45</v>
      </c>
      <c r="D74" s="19" t="str">
        <f aca="false">'Invoice Sample'!M74</f>
        <v>Tier 2 ($10K-$50K)</v>
      </c>
      <c r="E74" s="19" t="str">
        <f aca="false">'Invoice Sample'!F74</f>
        <v>2/10 Net 30</v>
      </c>
      <c r="F74" s="31" t="n">
        <f aca="false">IF(B74="Recurring",'Future-State Model'!E22,'Future-State Model'!E23)</f>
        <v>0.237441860465116</v>
      </c>
      <c r="G74" s="31" t="n">
        <f aca="false">'Future-State Model'!E24</f>
        <v>2.4157</v>
      </c>
      <c r="H74" s="31" t="n">
        <f aca="false">IF(OR(D74="Tier 2 ($10K-$50K)",D74="Tier 3 (&gt;$50K)"),'Future-State Model'!E25,0)</f>
        <v>2.06456565656566</v>
      </c>
      <c r="I74" s="13" t="n">
        <f aca="false">IF(D74="Tier 3 (&gt;$50K)",'Future-State Model'!E26,0)</f>
        <v>0</v>
      </c>
      <c r="J74" s="31" t="n">
        <f aca="false">'Future-State Model'!E27</f>
        <v>0.686</v>
      </c>
      <c r="K74" s="12" t="n">
        <f aca="false">SUM(F74:J74)</f>
        <v>5.40370751703077</v>
      </c>
      <c r="L74" s="13" t="str">
        <f aca="false">IF(E74="2/10 Net 30","Yes","No")</f>
        <v>Yes</v>
      </c>
      <c r="M74" s="13" t="str">
        <f aca="false">IF(AND(L74="Yes",(F74+G74+H74+I74)&lt;=10),"Yes","No")</f>
        <v>Yes</v>
      </c>
      <c r="N74" s="13" t="str">
        <f aca="false">IF(K74&gt;30,"Yes","No")</f>
        <v>No</v>
      </c>
      <c r="O74" s="14" t="n">
        <f aca="false">IF(AND(L74="Yes",'Invoice Sample'!O74="No",M74="Yes"),C74*0.02,0)</f>
        <v>944.289</v>
      </c>
      <c r="P74" s="14" t="n">
        <f aca="false">IF(AND('Invoice Sample'!P74="Yes",N74="No"),C74*0.015,0)</f>
        <v>0</v>
      </c>
    </row>
    <row r="75" customFormat="false" ht="15" hidden="false" customHeight="false" outlineLevel="0" collapsed="false">
      <c r="A75" s="19" t="str">
        <f aca="false">'Invoice Sample'!A75</f>
        <v>INV-2104</v>
      </c>
      <c r="B75" s="19" t="str">
        <f aca="false">'Invoice Sample'!C75</f>
        <v>One-off</v>
      </c>
      <c r="C75" s="32" t="n">
        <f aca="false">'Invoice Sample'!E75</f>
        <v>2288.87</v>
      </c>
      <c r="D75" s="19" t="str">
        <f aca="false">'Invoice Sample'!M75</f>
        <v>Tier 1 ($500-$10K)</v>
      </c>
      <c r="E75" s="19" t="str">
        <f aca="false">'Invoice Sample'!F75</f>
        <v>2/10 Net 30</v>
      </c>
      <c r="F75" s="31" t="n">
        <f aca="false">IF(B75="Recurring",'Future-State Model'!E22,'Future-State Model'!E23)</f>
        <v>1.57352941176471</v>
      </c>
      <c r="G75" s="31" t="n">
        <f aca="false">'Future-State Model'!E24</f>
        <v>2.4157</v>
      </c>
      <c r="H75" s="13" t="n">
        <f aca="false">IF(OR(D75="Tier 2 ($10K-$50K)",D75="Tier 3 (&gt;$50K)"),'Future-State Model'!E25,0)</f>
        <v>0</v>
      </c>
      <c r="I75" s="13" t="n">
        <f aca="false">IF(D75="Tier 3 (&gt;$50K)",'Future-State Model'!E26,0)</f>
        <v>0</v>
      </c>
      <c r="J75" s="31" t="n">
        <f aca="false">'Future-State Model'!E27</f>
        <v>0.686</v>
      </c>
      <c r="K75" s="12" t="n">
        <f aca="false">SUM(F75:J75)</f>
        <v>4.67522941176471</v>
      </c>
      <c r="L75" s="13" t="str">
        <f aca="false">IF(E75="2/10 Net 30","Yes","No")</f>
        <v>Yes</v>
      </c>
      <c r="M75" s="13" t="str">
        <f aca="false">IF(AND(L75="Yes",(F75+G75+H75+I75)&lt;=10),"Yes","No")</f>
        <v>Yes</v>
      </c>
      <c r="N75" s="13" t="str">
        <f aca="false">IF(K75&gt;30,"Yes","No")</f>
        <v>No</v>
      </c>
      <c r="O75" s="14" t="n">
        <f aca="false">IF(AND(L75="Yes",'Invoice Sample'!O75="No",M75="Yes"),C75*0.02,0)</f>
        <v>45.7774</v>
      </c>
      <c r="P75" s="14" t="n">
        <f aca="false">IF(AND('Invoice Sample'!P75="Yes",N75="No"),C75*0.015,0)</f>
        <v>0</v>
      </c>
    </row>
    <row r="76" customFormat="false" ht="15" hidden="false" customHeight="false" outlineLevel="0" collapsed="false">
      <c r="A76" s="19" t="str">
        <f aca="false">'Invoice Sample'!A76</f>
        <v>INV-2105</v>
      </c>
      <c r="B76" s="19" t="str">
        <f aca="false">'Invoice Sample'!C76</f>
        <v>One-off</v>
      </c>
      <c r="C76" s="32" t="n">
        <f aca="false">'Invoice Sample'!E76</f>
        <v>437.56</v>
      </c>
      <c r="D76" s="19" t="str">
        <f aca="false">'Invoice Sample'!M76</f>
        <v>Tier 0 (&lt;$500)</v>
      </c>
      <c r="E76" s="19" t="str">
        <f aca="false">'Invoice Sample'!F76</f>
        <v>Net 30</v>
      </c>
      <c r="F76" s="31" t="n">
        <f aca="false">IF(B76="Recurring",'Future-State Model'!E22,'Future-State Model'!E23)</f>
        <v>1.57352941176471</v>
      </c>
      <c r="G76" s="31" t="n">
        <f aca="false">'Future-State Model'!E24</f>
        <v>2.4157</v>
      </c>
      <c r="H76" s="13" t="n">
        <f aca="false">IF(OR(D76="Tier 2 ($10K-$50K)",D76="Tier 3 (&gt;$50K)"),'Future-State Model'!E25,0)</f>
        <v>0</v>
      </c>
      <c r="I76" s="13" t="n">
        <f aca="false">IF(D76="Tier 3 (&gt;$50K)",'Future-State Model'!E26,0)</f>
        <v>0</v>
      </c>
      <c r="J76" s="31" t="n">
        <f aca="false">'Future-State Model'!E27</f>
        <v>0.686</v>
      </c>
      <c r="K76" s="12" t="n">
        <f aca="false">SUM(F76:J76)</f>
        <v>4.67522941176471</v>
      </c>
      <c r="L76" s="13" t="str">
        <f aca="false">IF(E76="2/10 Net 30","Yes","No")</f>
        <v>No</v>
      </c>
      <c r="M76" s="13" t="str">
        <f aca="false">IF(AND(L76="Yes",(F76+G76+H76+I76)&lt;=10),"Yes","No")</f>
        <v>No</v>
      </c>
      <c r="N76" s="13" t="str">
        <f aca="false">IF(K76&gt;30,"Yes","No")</f>
        <v>No</v>
      </c>
      <c r="O76" s="14" t="n">
        <f aca="false">IF(AND(L76="Yes",'Invoice Sample'!O76="No",M76="Yes"),C76*0.02,0)</f>
        <v>0</v>
      </c>
      <c r="P76" s="14" t="n">
        <f aca="false">IF(AND('Invoice Sample'!P76="Yes",N76="No"),C76*0.015,0)</f>
        <v>0</v>
      </c>
    </row>
    <row r="77" customFormat="false" ht="15" hidden="false" customHeight="false" outlineLevel="0" collapsed="false">
      <c r="A77" s="19" t="str">
        <f aca="false">'Invoice Sample'!A77</f>
        <v>INV-2106</v>
      </c>
      <c r="B77" s="19" t="str">
        <f aca="false">'Invoice Sample'!C77</f>
        <v>Recurring</v>
      </c>
      <c r="C77" s="32" t="n">
        <f aca="false">'Invoice Sample'!E77</f>
        <v>4816.89</v>
      </c>
      <c r="D77" s="19" t="str">
        <f aca="false">'Invoice Sample'!M77</f>
        <v>Tier 1 ($500-$10K)</v>
      </c>
      <c r="E77" s="19" t="str">
        <f aca="false">'Invoice Sample'!F77</f>
        <v>Net 30</v>
      </c>
      <c r="F77" s="31" t="n">
        <f aca="false">IF(B77="Recurring",'Future-State Model'!E22,'Future-State Model'!E23)</f>
        <v>0.237441860465116</v>
      </c>
      <c r="G77" s="31" t="n">
        <f aca="false">'Future-State Model'!E24</f>
        <v>2.4157</v>
      </c>
      <c r="H77" s="13" t="n">
        <f aca="false">IF(OR(D77="Tier 2 ($10K-$50K)",D77="Tier 3 (&gt;$50K)"),'Future-State Model'!E25,0)</f>
        <v>0</v>
      </c>
      <c r="I77" s="13" t="n">
        <f aca="false">IF(D77="Tier 3 (&gt;$50K)",'Future-State Model'!E26,0)</f>
        <v>0</v>
      </c>
      <c r="J77" s="31" t="n">
        <f aca="false">'Future-State Model'!E27</f>
        <v>0.686</v>
      </c>
      <c r="K77" s="12" t="n">
        <f aca="false">SUM(F77:J77)</f>
        <v>3.33914186046512</v>
      </c>
      <c r="L77" s="13" t="str">
        <f aca="false">IF(E77="2/10 Net 30","Yes","No")</f>
        <v>No</v>
      </c>
      <c r="M77" s="13" t="str">
        <f aca="false">IF(AND(L77="Yes",(F77+G77+H77+I77)&lt;=10),"Yes","No")</f>
        <v>No</v>
      </c>
      <c r="N77" s="13" t="str">
        <f aca="false">IF(K77&gt;30,"Yes","No")</f>
        <v>No</v>
      </c>
      <c r="O77" s="14" t="n">
        <f aca="false">IF(AND(L77="Yes",'Invoice Sample'!O77="No",M77="Yes"),C77*0.02,0)</f>
        <v>0</v>
      </c>
      <c r="P77" s="14" t="n">
        <f aca="false">IF(AND('Invoice Sample'!P77="Yes",N77="No"),C77*0.015,0)</f>
        <v>0</v>
      </c>
    </row>
    <row r="78" customFormat="false" ht="15" hidden="false" customHeight="false" outlineLevel="0" collapsed="false">
      <c r="A78" s="19" t="str">
        <f aca="false">'Invoice Sample'!A78</f>
        <v>INV-2107</v>
      </c>
      <c r="B78" s="19" t="str">
        <f aca="false">'Invoice Sample'!C78</f>
        <v>Recurring</v>
      </c>
      <c r="C78" s="32" t="n">
        <f aca="false">'Invoice Sample'!E78</f>
        <v>4432.83</v>
      </c>
      <c r="D78" s="19" t="str">
        <f aca="false">'Invoice Sample'!M78</f>
        <v>Tier 1 ($500-$10K)</v>
      </c>
      <c r="E78" s="19" t="str">
        <f aca="false">'Invoice Sample'!F78</f>
        <v>2/10 Net 30</v>
      </c>
      <c r="F78" s="31" t="n">
        <f aca="false">IF(B78="Recurring",'Future-State Model'!E22,'Future-State Model'!E23)</f>
        <v>0.237441860465116</v>
      </c>
      <c r="G78" s="31" t="n">
        <f aca="false">'Future-State Model'!E24</f>
        <v>2.4157</v>
      </c>
      <c r="H78" s="13" t="n">
        <f aca="false">IF(OR(D78="Tier 2 ($10K-$50K)",D78="Tier 3 (&gt;$50K)"),'Future-State Model'!E25,0)</f>
        <v>0</v>
      </c>
      <c r="I78" s="13" t="n">
        <f aca="false">IF(D78="Tier 3 (&gt;$50K)",'Future-State Model'!E26,0)</f>
        <v>0</v>
      </c>
      <c r="J78" s="31" t="n">
        <f aca="false">'Future-State Model'!E27</f>
        <v>0.686</v>
      </c>
      <c r="K78" s="12" t="n">
        <f aca="false">SUM(F78:J78)</f>
        <v>3.33914186046512</v>
      </c>
      <c r="L78" s="13" t="str">
        <f aca="false">IF(E78="2/10 Net 30","Yes","No")</f>
        <v>Yes</v>
      </c>
      <c r="M78" s="13" t="str">
        <f aca="false">IF(AND(L78="Yes",(F78+G78+H78+I78)&lt;=10),"Yes","No")</f>
        <v>Yes</v>
      </c>
      <c r="N78" s="13" t="str">
        <f aca="false">IF(K78&gt;30,"Yes","No")</f>
        <v>No</v>
      </c>
      <c r="O78" s="14" t="n">
        <f aca="false">IF(AND(L78="Yes",'Invoice Sample'!O78="No",M78="Yes"),C78*0.02,0)</f>
        <v>88.6566</v>
      </c>
      <c r="P78" s="14" t="n">
        <f aca="false">IF(AND('Invoice Sample'!P78="Yes",N78="No"),C78*0.015,0)</f>
        <v>0</v>
      </c>
    </row>
    <row r="79" customFormat="false" ht="15" hidden="false" customHeight="false" outlineLevel="0" collapsed="false">
      <c r="A79" s="19" t="str">
        <f aca="false">'Invoice Sample'!A79</f>
        <v>INV-2108</v>
      </c>
      <c r="B79" s="19" t="str">
        <f aca="false">'Invoice Sample'!C79</f>
        <v>Recurring</v>
      </c>
      <c r="C79" s="32" t="n">
        <f aca="false">'Invoice Sample'!E79</f>
        <v>7515.78</v>
      </c>
      <c r="D79" s="19" t="str">
        <f aca="false">'Invoice Sample'!M79</f>
        <v>Tier 1 ($500-$10K)</v>
      </c>
      <c r="E79" s="19" t="str">
        <f aca="false">'Invoice Sample'!F79</f>
        <v>2/10 Net 30</v>
      </c>
      <c r="F79" s="31" t="n">
        <f aca="false">IF(B79="Recurring",'Future-State Model'!E22,'Future-State Model'!E23)</f>
        <v>0.237441860465116</v>
      </c>
      <c r="G79" s="31" t="n">
        <f aca="false">'Future-State Model'!E24</f>
        <v>2.4157</v>
      </c>
      <c r="H79" s="13" t="n">
        <f aca="false">IF(OR(D79="Tier 2 ($10K-$50K)",D79="Tier 3 (&gt;$50K)"),'Future-State Model'!E25,0)</f>
        <v>0</v>
      </c>
      <c r="I79" s="13" t="n">
        <f aca="false">IF(D79="Tier 3 (&gt;$50K)",'Future-State Model'!E26,0)</f>
        <v>0</v>
      </c>
      <c r="J79" s="31" t="n">
        <f aca="false">'Future-State Model'!E27</f>
        <v>0.686</v>
      </c>
      <c r="K79" s="12" t="n">
        <f aca="false">SUM(F79:J79)</f>
        <v>3.33914186046512</v>
      </c>
      <c r="L79" s="13" t="str">
        <f aca="false">IF(E79="2/10 Net 30","Yes","No")</f>
        <v>Yes</v>
      </c>
      <c r="M79" s="13" t="str">
        <f aca="false">IF(AND(L79="Yes",(F79+G79+H79+I79)&lt;=10),"Yes","No")</f>
        <v>Yes</v>
      </c>
      <c r="N79" s="13" t="str">
        <f aca="false">IF(K79&gt;30,"Yes","No")</f>
        <v>No</v>
      </c>
      <c r="O79" s="14" t="n">
        <f aca="false">IF(AND(L79="Yes",'Invoice Sample'!O79="No",M79="Yes"),C79*0.02,0)</f>
        <v>150.3156</v>
      </c>
      <c r="P79" s="14" t="n">
        <f aca="false">IF(AND('Invoice Sample'!P79="Yes",N79="No"),C79*0.015,0)</f>
        <v>0</v>
      </c>
    </row>
    <row r="80" customFormat="false" ht="15" hidden="false" customHeight="false" outlineLevel="0" collapsed="false">
      <c r="A80" s="19" t="str">
        <f aca="false">'Invoice Sample'!A80</f>
        <v>INV-2109</v>
      </c>
      <c r="B80" s="19" t="str">
        <f aca="false">'Invoice Sample'!C80</f>
        <v>Recurring</v>
      </c>
      <c r="C80" s="32" t="n">
        <f aca="false">'Invoice Sample'!E80</f>
        <v>9920.87</v>
      </c>
      <c r="D80" s="19" t="str">
        <f aca="false">'Invoice Sample'!M80</f>
        <v>Tier 1 ($500-$10K)</v>
      </c>
      <c r="E80" s="19" t="str">
        <f aca="false">'Invoice Sample'!F80</f>
        <v>2/10 Net 30</v>
      </c>
      <c r="F80" s="31" t="n">
        <f aca="false">IF(B80="Recurring",'Future-State Model'!E22,'Future-State Model'!E23)</f>
        <v>0.237441860465116</v>
      </c>
      <c r="G80" s="31" t="n">
        <f aca="false">'Future-State Model'!E24</f>
        <v>2.4157</v>
      </c>
      <c r="H80" s="13" t="n">
        <f aca="false">IF(OR(D80="Tier 2 ($10K-$50K)",D80="Tier 3 (&gt;$50K)"),'Future-State Model'!E25,0)</f>
        <v>0</v>
      </c>
      <c r="I80" s="13" t="n">
        <f aca="false">IF(D80="Tier 3 (&gt;$50K)",'Future-State Model'!E26,0)</f>
        <v>0</v>
      </c>
      <c r="J80" s="31" t="n">
        <f aca="false">'Future-State Model'!E27</f>
        <v>0.686</v>
      </c>
      <c r="K80" s="12" t="n">
        <f aca="false">SUM(F80:J80)</f>
        <v>3.33914186046512</v>
      </c>
      <c r="L80" s="13" t="str">
        <f aca="false">IF(E80="2/10 Net 30","Yes","No")</f>
        <v>Yes</v>
      </c>
      <c r="M80" s="13" t="str">
        <f aca="false">IF(AND(L80="Yes",(F80+G80+H80+I80)&lt;=10),"Yes","No")</f>
        <v>Yes</v>
      </c>
      <c r="N80" s="13" t="str">
        <f aca="false">IF(K80&gt;30,"Yes","No")</f>
        <v>No</v>
      </c>
      <c r="O80" s="14" t="n">
        <f aca="false">IF(AND(L80="Yes",'Invoice Sample'!O80="No",M80="Yes"),C80*0.02,0)</f>
        <v>198.4174</v>
      </c>
      <c r="P80" s="14" t="n">
        <f aca="false">IF(AND('Invoice Sample'!P80="Yes",N80="No"),C80*0.015,0)</f>
        <v>0</v>
      </c>
    </row>
    <row r="81" customFormat="false" ht="15" hidden="false" customHeight="false" outlineLevel="0" collapsed="false">
      <c r="A81" s="19" t="str">
        <f aca="false">'Invoice Sample'!A81</f>
        <v>INV-2110</v>
      </c>
      <c r="B81" s="19" t="str">
        <f aca="false">'Invoice Sample'!C81</f>
        <v>One-off</v>
      </c>
      <c r="C81" s="32" t="n">
        <f aca="false">'Invoice Sample'!E81</f>
        <v>34871.06</v>
      </c>
      <c r="D81" s="19" t="str">
        <f aca="false">'Invoice Sample'!M81</f>
        <v>Tier 2 ($10K-$50K)</v>
      </c>
      <c r="E81" s="19" t="str">
        <f aca="false">'Invoice Sample'!F81</f>
        <v>2/10 Net 30</v>
      </c>
      <c r="F81" s="31" t="n">
        <f aca="false">IF(B81="Recurring",'Future-State Model'!E22,'Future-State Model'!E23)</f>
        <v>1.57352941176471</v>
      </c>
      <c r="G81" s="31" t="n">
        <f aca="false">'Future-State Model'!E24</f>
        <v>2.4157</v>
      </c>
      <c r="H81" s="31" t="n">
        <f aca="false">IF(OR(D81="Tier 2 ($10K-$50K)",D81="Tier 3 (&gt;$50K)"),'Future-State Model'!E25,0)</f>
        <v>2.06456565656566</v>
      </c>
      <c r="I81" s="13" t="n">
        <f aca="false">IF(D81="Tier 3 (&gt;$50K)",'Future-State Model'!E26,0)</f>
        <v>0</v>
      </c>
      <c r="J81" s="31" t="n">
        <f aca="false">'Future-State Model'!E27</f>
        <v>0.686</v>
      </c>
      <c r="K81" s="12" t="n">
        <f aca="false">SUM(F81:J81)</f>
        <v>6.73979506833036</v>
      </c>
      <c r="L81" s="13" t="str">
        <f aca="false">IF(E81="2/10 Net 30","Yes","No")</f>
        <v>Yes</v>
      </c>
      <c r="M81" s="13" t="str">
        <f aca="false">IF(AND(L81="Yes",(F81+G81+H81+I81)&lt;=10),"Yes","No")</f>
        <v>Yes</v>
      </c>
      <c r="N81" s="13" t="str">
        <f aca="false">IF(K81&gt;30,"Yes","No")</f>
        <v>No</v>
      </c>
      <c r="O81" s="14" t="n">
        <f aca="false">IF(AND(L81="Yes",'Invoice Sample'!O81="No",M81="Yes"),C81*0.02,0)</f>
        <v>697.4212</v>
      </c>
      <c r="P81" s="14" t="n">
        <f aca="false">IF(AND('Invoice Sample'!P81="Yes",N81="No"),C81*0.015,0)</f>
        <v>0</v>
      </c>
    </row>
    <row r="82" customFormat="false" ht="15" hidden="false" customHeight="false" outlineLevel="0" collapsed="false">
      <c r="A82" s="19" t="str">
        <f aca="false">'Invoice Sample'!A82</f>
        <v>INV-2111</v>
      </c>
      <c r="B82" s="19" t="str">
        <f aca="false">'Invoice Sample'!C82</f>
        <v>Recurring</v>
      </c>
      <c r="C82" s="32" t="n">
        <f aca="false">'Invoice Sample'!E82</f>
        <v>2696.93</v>
      </c>
      <c r="D82" s="19" t="str">
        <f aca="false">'Invoice Sample'!M82</f>
        <v>Tier 1 ($500-$10K)</v>
      </c>
      <c r="E82" s="19" t="str">
        <f aca="false">'Invoice Sample'!F82</f>
        <v>Net 30</v>
      </c>
      <c r="F82" s="31" t="n">
        <f aca="false">IF(B82="Recurring",'Future-State Model'!E22,'Future-State Model'!E23)</f>
        <v>0.237441860465116</v>
      </c>
      <c r="G82" s="31" t="n">
        <f aca="false">'Future-State Model'!E24</f>
        <v>2.4157</v>
      </c>
      <c r="H82" s="13" t="n">
        <f aca="false">IF(OR(D82="Tier 2 ($10K-$50K)",D82="Tier 3 (&gt;$50K)"),'Future-State Model'!E25,0)</f>
        <v>0</v>
      </c>
      <c r="I82" s="13" t="n">
        <f aca="false">IF(D82="Tier 3 (&gt;$50K)",'Future-State Model'!E26,0)</f>
        <v>0</v>
      </c>
      <c r="J82" s="31" t="n">
        <f aca="false">'Future-State Model'!E27</f>
        <v>0.686</v>
      </c>
      <c r="K82" s="12" t="n">
        <f aca="false">SUM(F82:J82)</f>
        <v>3.33914186046512</v>
      </c>
      <c r="L82" s="13" t="str">
        <f aca="false">IF(E82="2/10 Net 30","Yes","No")</f>
        <v>No</v>
      </c>
      <c r="M82" s="13" t="str">
        <f aca="false">IF(AND(L82="Yes",(F82+G82+H82+I82)&lt;=10),"Yes","No")</f>
        <v>No</v>
      </c>
      <c r="N82" s="13" t="str">
        <f aca="false">IF(K82&gt;30,"Yes","No")</f>
        <v>No</v>
      </c>
      <c r="O82" s="14" t="n">
        <f aca="false">IF(AND(L82="Yes",'Invoice Sample'!O82="No",M82="Yes"),C82*0.02,0)</f>
        <v>0</v>
      </c>
      <c r="P82" s="14" t="n">
        <f aca="false">IF(AND('Invoice Sample'!P82="Yes",N82="No"),C82*0.015,0)</f>
        <v>0</v>
      </c>
    </row>
    <row r="83" customFormat="false" ht="15" hidden="false" customHeight="false" outlineLevel="0" collapsed="false">
      <c r="A83" s="19" t="str">
        <f aca="false">'Invoice Sample'!A83</f>
        <v>INV-2112</v>
      </c>
      <c r="B83" s="19" t="str">
        <f aca="false">'Invoice Sample'!C83</f>
        <v>Recurring</v>
      </c>
      <c r="C83" s="32" t="n">
        <f aca="false">'Invoice Sample'!E83</f>
        <v>7704.25</v>
      </c>
      <c r="D83" s="19" t="str">
        <f aca="false">'Invoice Sample'!M83</f>
        <v>Tier 1 ($500-$10K)</v>
      </c>
      <c r="E83" s="19" t="str">
        <f aca="false">'Invoice Sample'!F83</f>
        <v>Net 30</v>
      </c>
      <c r="F83" s="31" t="n">
        <f aca="false">IF(B83="Recurring",'Future-State Model'!E22,'Future-State Model'!E23)</f>
        <v>0.237441860465116</v>
      </c>
      <c r="G83" s="31" t="n">
        <f aca="false">'Future-State Model'!E24</f>
        <v>2.4157</v>
      </c>
      <c r="H83" s="13" t="n">
        <f aca="false">IF(OR(D83="Tier 2 ($10K-$50K)",D83="Tier 3 (&gt;$50K)"),'Future-State Model'!E25,0)</f>
        <v>0</v>
      </c>
      <c r="I83" s="13" t="n">
        <f aca="false">IF(D83="Tier 3 (&gt;$50K)",'Future-State Model'!E26,0)</f>
        <v>0</v>
      </c>
      <c r="J83" s="31" t="n">
        <f aca="false">'Future-State Model'!E27</f>
        <v>0.686</v>
      </c>
      <c r="K83" s="12" t="n">
        <f aca="false">SUM(F83:J83)</f>
        <v>3.33914186046512</v>
      </c>
      <c r="L83" s="13" t="str">
        <f aca="false">IF(E83="2/10 Net 30","Yes","No")</f>
        <v>No</v>
      </c>
      <c r="M83" s="13" t="str">
        <f aca="false">IF(AND(L83="Yes",(F83+G83+H83+I83)&lt;=10),"Yes","No")</f>
        <v>No</v>
      </c>
      <c r="N83" s="13" t="str">
        <f aca="false">IF(K83&gt;30,"Yes","No")</f>
        <v>No</v>
      </c>
      <c r="O83" s="14" t="n">
        <f aca="false">IF(AND(L83="Yes",'Invoice Sample'!O83="No",M83="Yes"),C83*0.02,0)</f>
        <v>0</v>
      </c>
      <c r="P83" s="14" t="n">
        <f aca="false">IF(AND('Invoice Sample'!P83="Yes",N83="No"),C83*0.015,0)</f>
        <v>0</v>
      </c>
    </row>
    <row r="84" customFormat="false" ht="15" hidden="false" customHeight="false" outlineLevel="0" collapsed="false">
      <c r="A84" s="19" t="str">
        <f aca="false">'Invoice Sample'!A84</f>
        <v>INV-2113</v>
      </c>
      <c r="B84" s="19" t="str">
        <f aca="false">'Invoice Sample'!C84</f>
        <v>Recurring</v>
      </c>
      <c r="C84" s="32" t="n">
        <f aca="false">'Invoice Sample'!E84</f>
        <v>45585.37</v>
      </c>
      <c r="D84" s="19" t="str">
        <f aca="false">'Invoice Sample'!M84</f>
        <v>Tier 2 ($10K-$50K)</v>
      </c>
      <c r="E84" s="19" t="str">
        <f aca="false">'Invoice Sample'!F84</f>
        <v>2/10 Net 30</v>
      </c>
      <c r="F84" s="31" t="n">
        <f aca="false">IF(B84="Recurring",'Future-State Model'!E22,'Future-State Model'!E23)</f>
        <v>0.237441860465116</v>
      </c>
      <c r="G84" s="31" t="n">
        <f aca="false">'Future-State Model'!E24</f>
        <v>2.4157</v>
      </c>
      <c r="H84" s="31" t="n">
        <f aca="false">IF(OR(D84="Tier 2 ($10K-$50K)",D84="Tier 3 (&gt;$50K)"),'Future-State Model'!E25,0)</f>
        <v>2.06456565656566</v>
      </c>
      <c r="I84" s="13" t="n">
        <f aca="false">IF(D84="Tier 3 (&gt;$50K)",'Future-State Model'!E26,0)</f>
        <v>0</v>
      </c>
      <c r="J84" s="31" t="n">
        <f aca="false">'Future-State Model'!E27</f>
        <v>0.686</v>
      </c>
      <c r="K84" s="12" t="n">
        <f aca="false">SUM(F84:J84)</f>
        <v>5.40370751703077</v>
      </c>
      <c r="L84" s="13" t="str">
        <f aca="false">IF(E84="2/10 Net 30","Yes","No")</f>
        <v>Yes</v>
      </c>
      <c r="M84" s="13" t="str">
        <f aca="false">IF(AND(L84="Yes",(F84+G84+H84+I84)&lt;=10),"Yes","No")</f>
        <v>Yes</v>
      </c>
      <c r="N84" s="13" t="str">
        <f aca="false">IF(K84&gt;30,"Yes","No")</f>
        <v>No</v>
      </c>
      <c r="O84" s="14" t="n">
        <f aca="false">IF(AND(L84="Yes",'Invoice Sample'!O84="No",M84="Yes"),C84*0.02,0)</f>
        <v>911.7074</v>
      </c>
      <c r="P84" s="14" t="n">
        <f aca="false">IF(AND('Invoice Sample'!P84="Yes",N84="No"),C84*0.015,0)</f>
        <v>0</v>
      </c>
    </row>
    <row r="85" customFormat="false" ht="15" hidden="false" customHeight="false" outlineLevel="0" collapsed="false">
      <c r="A85" s="19" t="str">
        <f aca="false">'Invoice Sample'!A85</f>
        <v>INV-2114</v>
      </c>
      <c r="B85" s="19" t="str">
        <f aca="false">'Invoice Sample'!C85</f>
        <v>One-off</v>
      </c>
      <c r="C85" s="32" t="n">
        <f aca="false">'Invoice Sample'!E85</f>
        <v>168.89</v>
      </c>
      <c r="D85" s="19" t="str">
        <f aca="false">'Invoice Sample'!M85</f>
        <v>Tier 0 (&lt;$500)</v>
      </c>
      <c r="E85" s="19" t="str">
        <f aca="false">'Invoice Sample'!F85</f>
        <v>Net 30</v>
      </c>
      <c r="F85" s="31" t="n">
        <f aca="false">IF(B85="Recurring",'Future-State Model'!E22,'Future-State Model'!E23)</f>
        <v>1.57352941176471</v>
      </c>
      <c r="G85" s="31" t="n">
        <f aca="false">'Future-State Model'!E24</f>
        <v>2.4157</v>
      </c>
      <c r="H85" s="13" t="n">
        <f aca="false">IF(OR(D85="Tier 2 ($10K-$50K)",D85="Tier 3 (&gt;$50K)"),'Future-State Model'!E25,0)</f>
        <v>0</v>
      </c>
      <c r="I85" s="13" t="n">
        <f aca="false">IF(D85="Tier 3 (&gt;$50K)",'Future-State Model'!E26,0)</f>
        <v>0</v>
      </c>
      <c r="J85" s="31" t="n">
        <f aca="false">'Future-State Model'!E27</f>
        <v>0.686</v>
      </c>
      <c r="K85" s="12" t="n">
        <f aca="false">SUM(F85:J85)</f>
        <v>4.67522941176471</v>
      </c>
      <c r="L85" s="13" t="str">
        <f aca="false">IF(E85="2/10 Net 30","Yes","No")</f>
        <v>No</v>
      </c>
      <c r="M85" s="13" t="str">
        <f aca="false">IF(AND(L85="Yes",(F85+G85+H85+I85)&lt;=10),"Yes","No")</f>
        <v>No</v>
      </c>
      <c r="N85" s="13" t="str">
        <f aca="false">IF(K85&gt;30,"Yes","No")</f>
        <v>No</v>
      </c>
      <c r="O85" s="14" t="n">
        <f aca="false">IF(AND(L85="Yes",'Invoice Sample'!O85="No",M85="Yes"),C85*0.02,0)</f>
        <v>0</v>
      </c>
      <c r="P85" s="14" t="n">
        <f aca="false">IF(AND('Invoice Sample'!P85="Yes",N85="No"),C85*0.015,0)</f>
        <v>0</v>
      </c>
    </row>
    <row r="86" customFormat="false" ht="15" hidden="false" customHeight="false" outlineLevel="0" collapsed="false">
      <c r="A86" s="19" t="str">
        <f aca="false">'Invoice Sample'!A86</f>
        <v>INV-2115</v>
      </c>
      <c r="B86" s="19" t="str">
        <f aca="false">'Invoice Sample'!C86</f>
        <v>Recurring</v>
      </c>
      <c r="C86" s="32" t="n">
        <f aca="false">'Invoice Sample'!E86</f>
        <v>386.35</v>
      </c>
      <c r="D86" s="19" t="str">
        <f aca="false">'Invoice Sample'!M86</f>
        <v>Tier 0 (&lt;$500)</v>
      </c>
      <c r="E86" s="19" t="str">
        <f aca="false">'Invoice Sample'!F86</f>
        <v>Net 30</v>
      </c>
      <c r="F86" s="31" t="n">
        <f aca="false">IF(B86="Recurring",'Future-State Model'!E22,'Future-State Model'!E23)</f>
        <v>0.237441860465116</v>
      </c>
      <c r="G86" s="31" t="n">
        <f aca="false">'Future-State Model'!E24</f>
        <v>2.4157</v>
      </c>
      <c r="H86" s="13" t="n">
        <f aca="false">IF(OR(D86="Tier 2 ($10K-$50K)",D86="Tier 3 (&gt;$50K)"),'Future-State Model'!E25,0)</f>
        <v>0</v>
      </c>
      <c r="I86" s="13" t="n">
        <f aca="false">IF(D86="Tier 3 (&gt;$50K)",'Future-State Model'!E26,0)</f>
        <v>0</v>
      </c>
      <c r="J86" s="31" t="n">
        <f aca="false">'Future-State Model'!E27</f>
        <v>0.686</v>
      </c>
      <c r="K86" s="12" t="n">
        <f aca="false">SUM(F86:J86)</f>
        <v>3.33914186046512</v>
      </c>
      <c r="L86" s="13" t="str">
        <f aca="false">IF(E86="2/10 Net 30","Yes","No")</f>
        <v>No</v>
      </c>
      <c r="M86" s="13" t="str">
        <f aca="false">IF(AND(L86="Yes",(F86+G86+H86+I86)&lt;=10),"Yes","No")</f>
        <v>No</v>
      </c>
      <c r="N86" s="13" t="str">
        <f aca="false">IF(K86&gt;30,"Yes","No")</f>
        <v>No</v>
      </c>
      <c r="O86" s="14" t="n">
        <f aca="false">IF(AND(L86="Yes",'Invoice Sample'!O86="No",M86="Yes"),C86*0.02,0)</f>
        <v>0</v>
      </c>
      <c r="P86" s="14" t="n">
        <f aca="false">IF(AND('Invoice Sample'!P86="Yes",N86="No"),C86*0.015,0)</f>
        <v>0</v>
      </c>
    </row>
    <row r="87" customFormat="false" ht="15" hidden="false" customHeight="false" outlineLevel="0" collapsed="false">
      <c r="A87" s="19" t="str">
        <f aca="false">'Invoice Sample'!A87</f>
        <v>INV-2116</v>
      </c>
      <c r="B87" s="19" t="str">
        <f aca="false">'Invoice Sample'!C87</f>
        <v>One-off</v>
      </c>
      <c r="C87" s="32" t="n">
        <f aca="false">'Invoice Sample'!E87</f>
        <v>121.84</v>
      </c>
      <c r="D87" s="19" t="str">
        <f aca="false">'Invoice Sample'!M87</f>
        <v>Tier 0 (&lt;$500)</v>
      </c>
      <c r="E87" s="19" t="str">
        <f aca="false">'Invoice Sample'!F87</f>
        <v>2/10 Net 30</v>
      </c>
      <c r="F87" s="31" t="n">
        <f aca="false">IF(B87="Recurring",'Future-State Model'!E22,'Future-State Model'!E23)</f>
        <v>1.57352941176471</v>
      </c>
      <c r="G87" s="31" t="n">
        <f aca="false">'Future-State Model'!E24</f>
        <v>2.4157</v>
      </c>
      <c r="H87" s="13" t="n">
        <f aca="false">IF(OR(D87="Tier 2 ($10K-$50K)",D87="Tier 3 (&gt;$50K)"),'Future-State Model'!E25,0)</f>
        <v>0</v>
      </c>
      <c r="I87" s="13" t="n">
        <f aca="false">IF(D87="Tier 3 (&gt;$50K)",'Future-State Model'!E26,0)</f>
        <v>0</v>
      </c>
      <c r="J87" s="31" t="n">
        <f aca="false">'Future-State Model'!E27</f>
        <v>0.686</v>
      </c>
      <c r="K87" s="12" t="n">
        <f aca="false">SUM(F87:J87)</f>
        <v>4.67522941176471</v>
      </c>
      <c r="L87" s="13" t="str">
        <f aca="false">IF(E87="2/10 Net 30","Yes","No")</f>
        <v>Yes</v>
      </c>
      <c r="M87" s="13" t="str">
        <f aca="false">IF(AND(L87="Yes",(F87+G87+H87+I87)&lt;=10),"Yes","No")</f>
        <v>Yes</v>
      </c>
      <c r="N87" s="13" t="str">
        <f aca="false">IF(K87&gt;30,"Yes","No")</f>
        <v>No</v>
      </c>
      <c r="O87" s="14" t="n">
        <f aca="false">IF(AND(L87="Yes",'Invoice Sample'!O87="No",M87="Yes"),C87*0.02,0)</f>
        <v>0</v>
      </c>
      <c r="P87" s="14" t="n">
        <f aca="false">IF(AND('Invoice Sample'!P87="Yes",N87="No"),C87*0.015,0)</f>
        <v>0</v>
      </c>
    </row>
    <row r="88" customFormat="false" ht="15" hidden="false" customHeight="false" outlineLevel="0" collapsed="false">
      <c r="A88" s="19" t="str">
        <f aca="false">'Invoice Sample'!A88</f>
        <v>INV-2117</v>
      </c>
      <c r="B88" s="19" t="str">
        <f aca="false">'Invoice Sample'!C88</f>
        <v>Recurring</v>
      </c>
      <c r="C88" s="32" t="n">
        <f aca="false">'Invoice Sample'!E88</f>
        <v>8931.04</v>
      </c>
      <c r="D88" s="19" t="str">
        <f aca="false">'Invoice Sample'!M88</f>
        <v>Tier 1 ($500-$10K)</v>
      </c>
      <c r="E88" s="19" t="str">
        <f aca="false">'Invoice Sample'!F88</f>
        <v>2/10 Net 30</v>
      </c>
      <c r="F88" s="31" t="n">
        <f aca="false">IF(B88="Recurring",'Future-State Model'!E22,'Future-State Model'!E23)</f>
        <v>0.237441860465116</v>
      </c>
      <c r="G88" s="31" t="n">
        <f aca="false">'Future-State Model'!E24</f>
        <v>2.4157</v>
      </c>
      <c r="H88" s="13" t="n">
        <f aca="false">IF(OR(D88="Tier 2 ($10K-$50K)",D88="Tier 3 (&gt;$50K)"),'Future-State Model'!E25,0)</f>
        <v>0</v>
      </c>
      <c r="I88" s="13" t="n">
        <f aca="false">IF(D88="Tier 3 (&gt;$50K)",'Future-State Model'!E26,0)</f>
        <v>0</v>
      </c>
      <c r="J88" s="31" t="n">
        <f aca="false">'Future-State Model'!E27</f>
        <v>0.686</v>
      </c>
      <c r="K88" s="12" t="n">
        <f aca="false">SUM(F88:J88)</f>
        <v>3.33914186046512</v>
      </c>
      <c r="L88" s="13" t="str">
        <f aca="false">IF(E88="2/10 Net 30","Yes","No")</f>
        <v>Yes</v>
      </c>
      <c r="M88" s="13" t="str">
        <f aca="false">IF(AND(L88="Yes",(F88+G88+H88+I88)&lt;=10),"Yes","No")</f>
        <v>Yes</v>
      </c>
      <c r="N88" s="13" t="str">
        <f aca="false">IF(K88&gt;30,"Yes","No")</f>
        <v>No</v>
      </c>
      <c r="O88" s="14" t="n">
        <f aca="false">IF(AND(L88="Yes",'Invoice Sample'!O88="No",M88="Yes"),C88*0.02,0)</f>
        <v>178.6208</v>
      </c>
      <c r="P88" s="14" t="n">
        <f aca="false">IF(AND('Invoice Sample'!P88="Yes",N88="No"),C88*0.015,0)</f>
        <v>0</v>
      </c>
    </row>
    <row r="89" customFormat="false" ht="15" hidden="false" customHeight="false" outlineLevel="0" collapsed="false">
      <c r="A89" s="19" t="str">
        <f aca="false">'Invoice Sample'!A89</f>
        <v>INV-2118</v>
      </c>
      <c r="B89" s="19" t="str">
        <f aca="false">'Invoice Sample'!C89</f>
        <v>One-off</v>
      </c>
      <c r="C89" s="32" t="n">
        <f aca="false">'Invoice Sample'!E89</f>
        <v>2368.85</v>
      </c>
      <c r="D89" s="19" t="str">
        <f aca="false">'Invoice Sample'!M89</f>
        <v>Tier 1 ($500-$10K)</v>
      </c>
      <c r="E89" s="19" t="str">
        <f aca="false">'Invoice Sample'!F89</f>
        <v>2/10 Net 30</v>
      </c>
      <c r="F89" s="31" t="n">
        <f aca="false">IF(B89="Recurring",'Future-State Model'!E22,'Future-State Model'!E23)</f>
        <v>1.57352941176471</v>
      </c>
      <c r="G89" s="31" t="n">
        <f aca="false">'Future-State Model'!E24</f>
        <v>2.4157</v>
      </c>
      <c r="H89" s="13" t="n">
        <f aca="false">IF(OR(D89="Tier 2 ($10K-$50K)",D89="Tier 3 (&gt;$50K)"),'Future-State Model'!E25,0)</f>
        <v>0</v>
      </c>
      <c r="I89" s="13" t="n">
        <f aca="false">IF(D89="Tier 3 (&gt;$50K)",'Future-State Model'!E26,0)</f>
        <v>0</v>
      </c>
      <c r="J89" s="31" t="n">
        <f aca="false">'Future-State Model'!E27</f>
        <v>0.686</v>
      </c>
      <c r="K89" s="12" t="n">
        <f aca="false">SUM(F89:J89)</f>
        <v>4.67522941176471</v>
      </c>
      <c r="L89" s="13" t="str">
        <f aca="false">IF(E89="2/10 Net 30","Yes","No")</f>
        <v>Yes</v>
      </c>
      <c r="M89" s="13" t="str">
        <f aca="false">IF(AND(L89="Yes",(F89+G89+H89+I89)&lt;=10),"Yes","No")</f>
        <v>Yes</v>
      </c>
      <c r="N89" s="13" t="str">
        <f aca="false">IF(K89&gt;30,"Yes","No")</f>
        <v>No</v>
      </c>
      <c r="O89" s="14" t="n">
        <f aca="false">IF(AND(L89="Yes",'Invoice Sample'!O89="No",M89="Yes"),C89*0.02,0)</f>
        <v>47.377</v>
      </c>
      <c r="P89" s="14" t="n">
        <f aca="false">IF(AND('Invoice Sample'!P89="Yes",N89="No"),C89*0.015,0)</f>
        <v>0</v>
      </c>
    </row>
    <row r="90" customFormat="false" ht="15" hidden="false" customHeight="false" outlineLevel="0" collapsed="false">
      <c r="A90" s="19" t="str">
        <f aca="false">'Invoice Sample'!A90</f>
        <v>INV-2119</v>
      </c>
      <c r="B90" s="19" t="str">
        <f aca="false">'Invoice Sample'!C90</f>
        <v>One-off</v>
      </c>
      <c r="C90" s="32" t="n">
        <f aca="false">'Invoice Sample'!E90</f>
        <v>121.45</v>
      </c>
      <c r="D90" s="19" t="str">
        <f aca="false">'Invoice Sample'!M90</f>
        <v>Tier 0 (&lt;$500)</v>
      </c>
      <c r="E90" s="19" t="str">
        <f aca="false">'Invoice Sample'!F90</f>
        <v>Net 30</v>
      </c>
      <c r="F90" s="31" t="n">
        <f aca="false">IF(B90="Recurring",'Future-State Model'!E22,'Future-State Model'!E23)</f>
        <v>1.57352941176471</v>
      </c>
      <c r="G90" s="31" t="n">
        <f aca="false">'Future-State Model'!E24</f>
        <v>2.4157</v>
      </c>
      <c r="H90" s="13" t="n">
        <f aca="false">IF(OR(D90="Tier 2 ($10K-$50K)",D90="Tier 3 (&gt;$50K)"),'Future-State Model'!E25,0)</f>
        <v>0</v>
      </c>
      <c r="I90" s="13" t="n">
        <f aca="false">IF(D90="Tier 3 (&gt;$50K)",'Future-State Model'!E26,0)</f>
        <v>0</v>
      </c>
      <c r="J90" s="31" t="n">
        <f aca="false">'Future-State Model'!E27</f>
        <v>0.686</v>
      </c>
      <c r="K90" s="12" t="n">
        <f aca="false">SUM(F90:J90)</f>
        <v>4.67522941176471</v>
      </c>
      <c r="L90" s="13" t="str">
        <f aca="false">IF(E90="2/10 Net 30","Yes","No")</f>
        <v>No</v>
      </c>
      <c r="M90" s="13" t="str">
        <f aca="false">IF(AND(L90="Yes",(F90+G90+H90+I90)&lt;=10),"Yes","No")</f>
        <v>No</v>
      </c>
      <c r="N90" s="13" t="str">
        <f aca="false">IF(K90&gt;30,"Yes","No")</f>
        <v>No</v>
      </c>
      <c r="O90" s="14" t="n">
        <f aca="false">IF(AND(L90="Yes",'Invoice Sample'!O90="No",M90="Yes"),C90*0.02,0)</f>
        <v>0</v>
      </c>
      <c r="P90" s="14" t="n">
        <f aca="false">IF(AND('Invoice Sample'!P90="Yes",N90="No"),C90*0.015,0)</f>
        <v>0</v>
      </c>
    </row>
    <row r="91" customFormat="false" ht="15" hidden="false" customHeight="false" outlineLevel="0" collapsed="false">
      <c r="A91" s="19" t="str">
        <f aca="false">'Invoice Sample'!A91</f>
        <v>INV-2120</v>
      </c>
      <c r="B91" s="19" t="str">
        <f aca="false">'Invoice Sample'!C91</f>
        <v>Recurring</v>
      </c>
      <c r="C91" s="32" t="n">
        <f aca="false">'Invoice Sample'!E91</f>
        <v>4949.49</v>
      </c>
      <c r="D91" s="19" t="str">
        <f aca="false">'Invoice Sample'!M91</f>
        <v>Tier 1 ($500-$10K)</v>
      </c>
      <c r="E91" s="19" t="str">
        <f aca="false">'Invoice Sample'!F91</f>
        <v>2/10 Net 30</v>
      </c>
      <c r="F91" s="31" t="n">
        <f aca="false">IF(B91="Recurring",'Future-State Model'!E22,'Future-State Model'!E23)</f>
        <v>0.237441860465116</v>
      </c>
      <c r="G91" s="31" t="n">
        <f aca="false">'Future-State Model'!E24</f>
        <v>2.4157</v>
      </c>
      <c r="H91" s="13" t="n">
        <f aca="false">IF(OR(D91="Tier 2 ($10K-$50K)",D91="Tier 3 (&gt;$50K)"),'Future-State Model'!E25,0)</f>
        <v>0</v>
      </c>
      <c r="I91" s="13" t="n">
        <f aca="false">IF(D91="Tier 3 (&gt;$50K)",'Future-State Model'!E26,0)</f>
        <v>0</v>
      </c>
      <c r="J91" s="31" t="n">
        <f aca="false">'Future-State Model'!E27</f>
        <v>0.686</v>
      </c>
      <c r="K91" s="12" t="n">
        <f aca="false">SUM(F91:J91)</f>
        <v>3.33914186046512</v>
      </c>
      <c r="L91" s="13" t="str">
        <f aca="false">IF(E91="2/10 Net 30","Yes","No")</f>
        <v>Yes</v>
      </c>
      <c r="M91" s="13" t="str">
        <f aca="false">IF(AND(L91="Yes",(F91+G91+H91+I91)&lt;=10),"Yes","No")</f>
        <v>Yes</v>
      </c>
      <c r="N91" s="13" t="str">
        <f aca="false">IF(K91&gt;30,"Yes","No")</f>
        <v>No</v>
      </c>
      <c r="O91" s="14" t="n">
        <f aca="false">IF(AND(L91="Yes",'Invoice Sample'!O91="No",M91="Yes"),C91*0.02,0)</f>
        <v>98.9898</v>
      </c>
      <c r="P91" s="14" t="n">
        <f aca="false">IF(AND('Invoice Sample'!P91="Yes",N91="No"),C91*0.015,0)</f>
        <v>0</v>
      </c>
    </row>
    <row r="92" customFormat="false" ht="15" hidden="false" customHeight="false" outlineLevel="0" collapsed="false">
      <c r="A92" s="19" t="str">
        <f aca="false">'Invoice Sample'!A92</f>
        <v>INV-2121</v>
      </c>
      <c r="B92" s="19" t="str">
        <f aca="false">'Invoice Sample'!C92</f>
        <v>Recurring</v>
      </c>
      <c r="C92" s="32" t="n">
        <f aca="false">'Invoice Sample'!E92</f>
        <v>203.51</v>
      </c>
      <c r="D92" s="19" t="str">
        <f aca="false">'Invoice Sample'!M92</f>
        <v>Tier 0 (&lt;$500)</v>
      </c>
      <c r="E92" s="19" t="str">
        <f aca="false">'Invoice Sample'!F92</f>
        <v>Net 30</v>
      </c>
      <c r="F92" s="31" t="n">
        <f aca="false">IF(B92="Recurring",'Future-State Model'!E22,'Future-State Model'!E23)</f>
        <v>0.237441860465116</v>
      </c>
      <c r="G92" s="31" t="n">
        <f aca="false">'Future-State Model'!E24</f>
        <v>2.4157</v>
      </c>
      <c r="H92" s="13" t="n">
        <f aca="false">IF(OR(D92="Tier 2 ($10K-$50K)",D92="Tier 3 (&gt;$50K)"),'Future-State Model'!E25,0)</f>
        <v>0</v>
      </c>
      <c r="I92" s="13" t="n">
        <f aca="false">IF(D92="Tier 3 (&gt;$50K)",'Future-State Model'!E26,0)</f>
        <v>0</v>
      </c>
      <c r="J92" s="31" t="n">
        <f aca="false">'Future-State Model'!E27</f>
        <v>0.686</v>
      </c>
      <c r="K92" s="12" t="n">
        <f aca="false">SUM(F92:J92)</f>
        <v>3.33914186046512</v>
      </c>
      <c r="L92" s="13" t="str">
        <f aca="false">IF(E92="2/10 Net 30","Yes","No")</f>
        <v>No</v>
      </c>
      <c r="M92" s="13" t="str">
        <f aca="false">IF(AND(L92="Yes",(F92+G92+H92+I92)&lt;=10),"Yes","No")</f>
        <v>No</v>
      </c>
      <c r="N92" s="13" t="str">
        <f aca="false">IF(K92&gt;30,"Yes","No")</f>
        <v>No</v>
      </c>
      <c r="O92" s="14" t="n">
        <f aca="false">IF(AND(L92="Yes",'Invoice Sample'!O92="No",M92="Yes"),C92*0.02,0)</f>
        <v>0</v>
      </c>
      <c r="P92" s="14" t="n">
        <f aca="false">IF(AND('Invoice Sample'!P92="Yes",N92="No"),C92*0.015,0)</f>
        <v>0</v>
      </c>
    </row>
    <row r="93" customFormat="false" ht="15" hidden="false" customHeight="false" outlineLevel="0" collapsed="false">
      <c r="A93" s="19" t="str">
        <f aca="false">'Invoice Sample'!A93</f>
        <v>INV-2122</v>
      </c>
      <c r="B93" s="19" t="str">
        <f aca="false">'Invoice Sample'!C93</f>
        <v>One-off</v>
      </c>
      <c r="C93" s="32" t="n">
        <f aca="false">'Invoice Sample'!E93</f>
        <v>1182.24</v>
      </c>
      <c r="D93" s="19" t="str">
        <f aca="false">'Invoice Sample'!M93</f>
        <v>Tier 1 ($500-$10K)</v>
      </c>
      <c r="E93" s="19" t="str">
        <f aca="false">'Invoice Sample'!F93</f>
        <v>2/10 Net 30</v>
      </c>
      <c r="F93" s="31" t="n">
        <f aca="false">IF(B93="Recurring",'Future-State Model'!E22,'Future-State Model'!E23)</f>
        <v>1.57352941176471</v>
      </c>
      <c r="G93" s="31" t="n">
        <f aca="false">'Future-State Model'!E24</f>
        <v>2.4157</v>
      </c>
      <c r="H93" s="13" t="n">
        <f aca="false">IF(OR(D93="Tier 2 ($10K-$50K)",D93="Tier 3 (&gt;$50K)"),'Future-State Model'!E25,0)</f>
        <v>0</v>
      </c>
      <c r="I93" s="13" t="n">
        <f aca="false">IF(D93="Tier 3 (&gt;$50K)",'Future-State Model'!E26,0)</f>
        <v>0</v>
      </c>
      <c r="J93" s="31" t="n">
        <f aca="false">'Future-State Model'!E27</f>
        <v>0.686</v>
      </c>
      <c r="K93" s="12" t="n">
        <f aca="false">SUM(F93:J93)</f>
        <v>4.67522941176471</v>
      </c>
      <c r="L93" s="13" t="str">
        <f aca="false">IF(E93="2/10 Net 30","Yes","No")</f>
        <v>Yes</v>
      </c>
      <c r="M93" s="13" t="str">
        <f aca="false">IF(AND(L93="Yes",(F93+G93+H93+I93)&lt;=10),"Yes","No")</f>
        <v>Yes</v>
      </c>
      <c r="N93" s="13" t="str">
        <f aca="false">IF(K93&gt;30,"Yes","No")</f>
        <v>No</v>
      </c>
      <c r="O93" s="14" t="n">
        <f aca="false">IF(AND(L93="Yes",'Invoice Sample'!O93="No",M93="Yes"),C93*0.02,0)</f>
        <v>0</v>
      </c>
      <c r="P93" s="14" t="n">
        <f aca="false">IF(AND('Invoice Sample'!P93="Yes",N93="No"),C93*0.015,0)</f>
        <v>0</v>
      </c>
    </row>
    <row r="94" customFormat="false" ht="15" hidden="false" customHeight="false" outlineLevel="0" collapsed="false">
      <c r="A94" s="19" t="str">
        <f aca="false">'Invoice Sample'!A94</f>
        <v>INV-2123</v>
      </c>
      <c r="B94" s="19" t="str">
        <f aca="false">'Invoice Sample'!C94</f>
        <v>Recurring</v>
      </c>
      <c r="C94" s="32" t="n">
        <f aca="false">'Invoice Sample'!E94</f>
        <v>2905.67</v>
      </c>
      <c r="D94" s="19" t="str">
        <f aca="false">'Invoice Sample'!M94</f>
        <v>Tier 1 ($500-$10K)</v>
      </c>
      <c r="E94" s="19" t="str">
        <f aca="false">'Invoice Sample'!F94</f>
        <v>2/10 Net 30</v>
      </c>
      <c r="F94" s="31" t="n">
        <f aca="false">IF(B94="Recurring",'Future-State Model'!E22,'Future-State Model'!E23)</f>
        <v>0.237441860465116</v>
      </c>
      <c r="G94" s="31" t="n">
        <f aca="false">'Future-State Model'!E24</f>
        <v>2.4157</v>
      </c>
      <c r="H94" s="13" t="n">
        <f aca="false">IF(OR(D94="Tier 2 ($10K-$50K)",D94="Tier 3 (&gt;$50K)"),'Future-State Model'!E25,0)</f>
        <v>0</v>
      </c>
      <c r="I94" s="13" t="n">
        <f aca="false">IF(D94="Tier 3 (&gt;$50K)",'Future-State Model'!E26,0)</f>
        <v>0</v>
      </c>
      <c r="J94" s="31" t="n">
        <f aca="false">'Future-State Model'!E27</f>
        <v>0.686</v>
      </c>
      <c r="K94" s="12" t="n">
        <f aca="false">SUM(F94:J94)</f>
        <v>3.33914186046512</v>
      </c>
      <c r="L94" s="13" t="str">
        <f aca="false">IF(E94="2/10 Net 30","Yes","No")</f>
        <v>Yes</v>
      </c>
      <c r="M94" s="13" t="str">
        <f aca="false">IF(AND(L94="Yes",(F94+G94+H94+I94)&lt;=10),"Yes","No")</f>
        <v>Yes</v>
      </c>
      <c r="N94" s="13" t="str">
        <f aca="false">IF(K94&gt;30,"Yes","No")</f>
        <v>No</v>
      </c>
      <c r="O94" s="14" t="n">
        <f aca="false">IF(AND(L94="Yes",'Invoice Sample'!O94="No",M94="Yes"),C94*0.02,0)</f>
        <v>58.1134</v>
      </c>
      <c r="P94" s="14" t="n">
        <f aca="false">IF(AND('Invoice Sample'!P94="Yes",N94="No"),C94*0.015,0)</f>
        <v>0</v>
      </c>
    </row>
    <row r="95" customFormat="false" ht="15" hidden="false" customHeight="false" outlineLevel="0" collapsed="false">
      <c r="A95" s="19" t="str">
        <f aca="false">'Invoice Sample'!A95</f>
        <v>INV-2124</v>
      </c>
      <c r="B95" s="19" t="str">
        <f aca="false">'Invoice Sample'!C95</f>
        <v>Recurring</v>
      </c>
      <c r="C95" s="32" t="n">
        <f aca="false">'Invoice Sample'!E95</f>
        <v>7836.58</v>
      </c>
      <c r="D95" s="19" t="str">
        <f aca="false">'Invoice Sample'!M95</f>
        <v>Tier 1 ($500-$10K)</v>
      </c>
      <c r="E95" s="19" t="str">
        <f aca="false">'Invoice Sample'!F95</f>
        <v>2/10 Net 30</v>
      </c>
      <c r="F95" s="31" t="n">
        <f aca="false">IF(B95="Recurring",'Future-State Model'!E22,'Future-State Model'!E23)</f>
        <v>0.237441860465116</v>
      </c>
      <c r="G95" s="31" t="n">
        <f aca="false">'Future-State Model'!E24</f>
        <v>2.4157</v>
      </c>
      <c r="H95" s="13" t="n">
        <f aca="false">IF(OR(D95="Tier 2 ($10K-$50K)",D95="Tier 3 (&gt;$50K)"),'Future-State Model'!E25,0)</f>
        <v>0</v>
      </c>
      <c r="I95" s="13" t="n">
        <f aca="false">IF(D95="Tier 3 (&gt;$50K)",'Future-State Model'!E26,0)</f>
        <v>0</v>
      </c>
      <c r="J95" s="31" t="n">
        <f aca="false">'Future-State Model'!E27</f>
        <v>0.686</v>
      </c>
      <c r="K95" s="12" t="n">
        <f aca="false">SUM(F95:J95)</f>
        <v>3.33914186046512</v>
      </c>
      <c r="L95" s="13" t="str">
        <f aca="false">IF(E95="2/10 Net 30","Yes","No")</f>
        <v>Yes</v>
      </c>
      <c r="M95" s="13" t="str">
        <f aca="false">IF(AND(L95="Yes",(F95+G95+H95+I95)&lt;=10),"Yes","No")</f>
        <v>Yes</v>
      </c>
      <c r="N95" s="13" t="str">
        <f aca="false">IF(K95&gt;30,"Yes","No")</f>
        <v>No</v>
      </c>
      <c r="O95" s="14" t="n">
        <f aca="false">IF(AND(L95="Yes",'Invoice Sample'!O95="No",M95="Yes"),C95*0.02,0)</f>
        <v>156.7316</v>
      </c>
      <c r="P95" s="14" t="n">
        <f aca="false">IF(AND('Invoice Sample'!P95="Yes",N95="No"),C95*0.015,0)</f>
        <v>0</v>
      </c>
    </row>
    <row r="96" customFormat="false" ht="15" hidden="false" customHeight="false" outlineLevel="0" collapsed="false">
      <c r="A96" s="19" t="str">
        <f aca="false">'Invoice Sample'!A96</f>
        <v>INV-2125</v>
      </c>
      <c r="B96" s="19" t="str">
        <f aca="false">'Invoice Sample'!C96</f>
        <v>One-off</v>
      </c>
      <c r="C96" s="32" t="n">
        <f aca="false">'Invoice Sample'!E96</f>
        <v>4428.48</v>
      </c>
      <c r="D96" s="19" t="str">
        <f aca="false">'Invoice Sample'!M96</f>
        <v>Tier 1 ($500-$10K)</v>
      </c>
      <c r="E96" s="19" t="str">
        <f aca="false">'Invoice Sample'!F96</f>
        <v>Net 30</v>
      </c>
      <c r="F96" s="31" t="n">
        <f aca="false">IF(B96="Recurring",'Future-State Model'!E22,'Future-State Model'!E23)</f>
        <v>1.57352941176471</v>
      </c>
      <c r="G96" s="31" t="n">
        <f aca="false">'Future-State Model'!E24</f>
        <v>2.4157</v>
      </c>
      <c r="H96" s="13" t="n">
        <f aca="false">IF(OR(D96="Tier 2 ($10K-$50K)",D96="Tier 3 (&gt;$50K)"),'Future-State Model'!E25,0)</f>
        <v>0</v>
      </c>
      <c r="I96" s="13" t="n">
        <f aca="false">IF(D96="Tier 3 (&gt;$50K)",'Future-State Model'!E26,0)</f>
        <v>0</v>
      </c>
      <c r="J96" s="31" t="n">
        <f aca="false">'Future-State Model'!E27</f>
        <v>0.686</v>
      </c>
      <c r="K96" s="12" t="n">
        <f aca="false">SUM(F96:J96)</f>
        <v>4.67522941176471</v>
      </c>
      <c r="L96" s="13" t="str">
        <f aca="false">IF(E96="2/10 Net 30","Yes","No")</f>
        <v>No</v>
      </c>
      <c r="M96" s="13" t="str">
        <f aca="false">IF(AND(L96="Yes",(F96+G96+H96+I96)&lt;=10),"Yes","No")</f>
        <v>No</v>
      </c>
      <c r="N96" s="13" t="str">
        <f aca="false">IF(K96&gt;30,"Yes","No")</f>
        <v>No</v>
      </c>
      <c r="O96" s="14" t="n">
        <f aca="false">IF(AND(L96="Yes",'Invoice Sample'!O96="No",M96="Yes"),C96*0.02,0)</f>
        <v>0</v>
      </c>
      <c r="P96" s="14" t="n">
        <f aca="false">IF(AND('Invoice Sample'!P96="Yes",N96="No"),C96*0.015,0)</f>
        <v>0</v>
      </c>
    </row>
    <row r="97" customFormat="false" ht="15" hidden="false" customHeight="false" outlineLevel="0" collapsed="false">
      <c r="A97" s="19" t="str">
        <f aca="false">'Invoice Sample'!A97</f>
        <v>INV-2126</v>
      </c>
      <c r="B97" s="19" t="str">
        <f aca="false">'Invoice Sample'!C97</f>
        <v>Recurring</v>
      </c>
      <c r="C97" s="32" t="n">
        <f aca="false">'Invoice Sample'!E97</f>
        <v>2031.75</v>
      </c>
      <c r="D97" s="19" t="str">
        <f aca="false">'Invoice Sample'!M97</f>
        <v>Tier 1 ($500-$10K)</v>
      </c>
      <c r="E97" s="19" t="str">
        <f aca="false">'Invoice Sample'!F97</f>
        <v>Net 30</v>
      </c>
      <c r="F97" s="31" t="n">
        <f aca="false">IF(B97="Recurring",'Future-State Model'!E22,'Future-State Model'!E23)</f>
        <v>0.237441860465116</v>
      </c>
      <c r="G97" s="31" t="n">
        <f aca="false">'Future-State Model'!E24</f>
        <v>2.4157</v>
      </c>
      <c r="H97" s="13" t="n">
        <f aca="false">IF(OR(D97="Tier 2 ($10K-$50K)",D97="Tier 3 (&gt;$50K)"),'Future-State Model'!E25,0)</f>
        <v>0</v>
      </c>
      <c r="I97" s="13" t="n">
        <f aca="false">IF(D97="Tier 3 (&gt;$50K)",'Future-State Model'!E26,0)</f>
        <v>0</v>
      </c>
      <c r="J97" s="31" t="n">
        <f aca="false">'Future-State Model'!E27</f>
        <v>0.686</v>
      </c>
      <c r="K97" s="12" t="n">
        <f aca="false">SUM(F97:J97)</f>
        <v>3.33914186046512</v>
      </c>
      <c r="L97" s="13" t="str">
        <f aca="false">IF(E97="2/10 Net 30","Yes","No")</f>
        <v>No</v>
      </c>
      <c r="M97" s="13" t="str">
        <f aca="false">IF(AND(L97="Yes",(F97+G97+H97+I97)&lt;=10),"Yes","No")</f>
        <v>No</v>
      </c>
      <c r="N97" s="13" t="str">
        <f aca="false">IF(K97&gt;30,"Yes","No")</f>
        <v>No</v>
      </c>
      <c r="O97" s="14" t="n">
        <f aca="false">IF(AND(L97="Yes",'Invoice Sample'!O97="No",M97="Yes"),C97*0.02,0)</f>
        <v>0</v>
      </c>
      <c r="P97" s="14" t="n">
        <f aca="false">IF(AND('Invoice Sample'!P97="Yes",N97="No"),C97*0.015,0)</f>
        <v>0</v>
      </c>
    </row>
    <row r="98" customFormat="false" ht="15" hidden="false" customHeight="false" outlineLevel="0" collapsed="false">
      <c r="A98" s="19" t="str">
        <f aca="false">'Invoice Sample'!A98</f>
        <v>INV-2127</v>
      </c>
      <c r="B98" s="19" t="str">
        <f aca="false">'Invoice Sample'!C98</f>
        <v>Recurring</v>
      </c>
      <c r="C98" s="32" t="n">
        <f aca="false">'Invoice Sample'!E98</f>
        <v>1751.54</v>
      </c>
      <c r="D98" s="19" t="str">
        <f aca="false">'Invoice Sample'!M98</f>
        <v>Tier 1 ($500-$10K)</v>
      </c>
      <c r="E98" s="19" t="str">
        <f aca="false">'Invoice Sample'!F98</f>
        <v>2/10 Net 30</v>
      </c>
      <c r="F98" s="31" t="n">
        <f aca="false">IF(B98="Recurring",'Future-State Model'!E22,'Future-State Model'!E23)</f>
        <v>0.237441860465116</v>
      </c>
      <c r="G98" s="31" t="n">
        <f aca="false">'Future-State Model'!E24</f>
        <v>2.4157</v>
      </c>
      <c r="H98" s="13" t="n">
        <f aca="false">IF(OR(D98="Tier 2 ($10K-$50K)",D98="Tier 3 (&gt;$50K)"),'Future-State Model'!E25,0)</f>
        <v>0</v>
      </c>
      <c r="I98" s="13" t="n">
        <f aca="false">IF(D98="Tier 3 (&gt;$50K)",'Future-State Model'!E26,0)</f>
        <v>0</v>
      </c>
      <c r="J98" s="31" t="n">
        <f aca="false">'Future-State Model'!E27</f>
        <v>0.686</v>
      </c>
      <c r="K98" s="12" t="n">
        <f aca="false">SUM(F98:J98)</f>
        <v>3.33914186046512</v>
      </c>
      <c r="L98" s="13" t="str">
        <f aca="false">IF(E98="2/10 Net 30","Yes","No")</f>
        <v>Yes</v>
      </c>
      <c r="M98" s="13" t="str">
        <f aca="false">IF(AND(L98="Yes",(F98+G98+H98+I98)&lt;=10),"Yes","No")</f>
        <v>Yes</v>
      </c>
      <c r="N98" s="13" t="str">
        <f aca="false">IF(K98&gt;30,"Yes","No")</f>
        <v>No</v>
      </c>
      <c r="O98" s="14" t="n">
        <f aca="false">IF(AND(L98="Yes",'Invoice Sample'!O98="No",M98="Yes"),C98*0.02,0)</f>
        <v>35.0308</v>
      </c>
      <c r="P98" s="14" t="n">
        <f aca="false">IF(AND('Invoice Sample'!P98="Yes",N98="No"),C98*0.015,0)</f>
        <v>0</v>
      </c>
    </row>
    <row r="99" customFormat="false" ht="15" hidden="false" customHeight="false" outlineLevel="0" collapsed="false">
      <c r="A99" s="19" t="str">
        <f aca="false">'Invoice Sample'!A99</f>
        <v>INV-2128</v>
      </c>
      <c r="B99" s="19" t="str">
        <f aca="false">'Invoice Sample'!C99</f>
        <v>Recurring</v>
      </c>
      <c r="C99" s="32" t="n">
        <f aca="false">'Invoice Sample'!E99</f>
        <v>92.59</v>
      </c>
      <c r="D99" s="19" t="str">
        <f aca="false">'Invoice Sample'!M99</f>
        <v>Tier 0 (&lt;$500)</v>
      </c>
      <c r="E99" s="19" t="str">
        <f aca="false">'Invoice Sample'!F99</f>
        <v>2/10 Net 30</v>
      </c>
      <c r="F99" s="31" t="n">
        <f aca="false">IF(B99="Recurring",'Future-State Model'!E22,'Future-State Model'!E23)</f>
        <v>0.237441860465116</v>
      </c>
      <c r="G99" s="31" t="n">
        <f aca="false">'Future-State Model'!E24</f>
        <v>2.4157</v>
      </c>
      <c r="H99" s="13" t="n">
        <f aca="false">IF(OR(D99="Tier 2 ($10K-$50K)",D99="Tier 3 (&gt;$50K)"),'Future-State Model'!E25,0)</f>
        <v>0</v>
      </c>
      <c r="I99" s="13" t="n">
        <f aca="false">IF(D99="Tier 3 (&gt;$50K)",'Future-State Model'!E26,0)</f>
        <v>0</v>
      </c>
      <c r="J99" s="31" t="n">
        <f aca="false">'Future-State Model'!E27</f>
        <v>0.686</v>
      </c>
      <c r="K99" s="12" t="n">
        <f aca="false">SUM(F99:J99)</f>
        <v>3.33914186046512</v>
      </c>
      <c r="L99" s="13" t="str">
        <f aca="false">IF(E99="2/10 Net 30","Yes","No")</f>
        <v>Yes</v>
      </c>
      <c r="M99" s="13" t="str">
        <f aca="false">IF(AND(L99="Yes",(F99+G99+H99+I99)&lt;=10),"Yes","No")</f>
        <v>Yes</v>
      </c>
      <c r="N99" s="13" t="str">
        <f aca="false">IF(K99&gt;30,"Yes","No")</f>
        <v>No</v>
      </c>
      <c r="O99" s="14" t="n">
        <f aca="false">IF(AND(L99="Yes",'Invoice Sample'!O99="No",M99="Yes"),C99*0.02,0)</f>
        <v>0</v>
      </c>
      <c r="P99" s="14" t="n">
        <f aca="false">IF(AND('Invoice Sample'!P99="Yes",N99="No"),C99*0.015,0)</f>
        <v>0</v>
      </c>
    </row>
    <row r="100" customFormat="false" ht="15" hidden="false" customHeight="false" outlineLevel="0" collapsed="false">
      <c r="A100" s="19" t="str">
        <f aca="false">'Invoice Sample'!A100</f>
        <v>INV-2129</v>
      </c>
      <c r="B100" s="19" t="str">
        <f aca="false">'Invoice Sample'!C100</f>
        <v>Recurring</v>
      </c>
      <c r="C100" s="32" t="n">
        <f aca="false">'Invoice Sample'!E100</f>
        <v>302.86</v>
      </c>
      <c r="D100" s="19" t="str">
        <f aca="false">'Invoice Sample'!M100</f>
        <v>Tier 0 (&lt;$500)</v>
      </c>
      <c r="E100" s="19" t="str">
        <f aca="false">'Invoice Sample'!F100</f>
        <v>2/10 Net 30</v>
      </c>
      <c r="F100" s="31" t="n">
        <f aca="false">IF(B100="Recurring",'Future-State Model'!E22,'Future-State Model'!E23)</f>
        <v>0.237441860465116</v>
      </c>
      <c r="G100" s="31" t="n">
        <f aca="false">'Future-State Model'!E24</f>
        <v>2.4157</v>
      </c>
      <c r="H100" s="13" t="n">
        <f aca="false">IF(OR(D100="Tier 2 ($10K-$50K)",D100="Tier 3 (&gt;$50K)"),'Future-State Model'!E25,0)</f>
        <v>0</v>
      </c>
      <c r="I100" s="13" t="n">
        <f aca="false">IF(D100="Tier 3 (&gt;$50K)",'Future-State Model'!E26,0)</f>
        <v>0</v>
      </c>
      <c r="J100" s="31" t="n">
        <f aca="false">'Future-State Model'!E27</f>
        <v>0.686</v>
      </c>
      <c r="K100" s="12" t="n">
        <f aca="false">SUM(F100:J100)</f>
        <v>3.33914186046512</v>
      </c>
      <c r="L100" s="13" t="str">
        <f aca="false">IF(E100="2/10 Net 30","Yes","No")</f>
        <v>Yes</v>
      </c>
      <c r="M100" s="13" t="str">
        <f aca="false">IF(AND(L100="Yes",(F100+G100+H100+I100)&lt;=10),"Yes","No")</f>
        <v>Yes</v>
      </c>
      <c r="N100" s="13" t="str">
        <f aca="false">IF(K100&gt;30,"Yes","No")</f>
        <v>No</v>
      </c>
      <c r="O100" s="14" t="n">
        <f aca="false">IF(AND(L100="Yes",'Invoice Sample'!O100="No",M100="Yes"),C100*0.02,0)</f>
        <v>0</v>
      </c>
      <c r="P100" s="14" t="n">
        <f aca="false">IF(AND('Invoice Sample'!P100="Yes",N100="No"),C100*0.015,0)</f>
        <v>0</v>
      </c>
    </row>
    <row r="101" customFormat="false" ht="15" hidden="false" customHeight="false" outlineLevel="0" collapsed="false">
      <c r="A101" s="19" t="str">
        <f aca="false">'Invoice Sample'!A101</f>
        <v>INV-2130</v>
      </c>
      <c r="B101" s="19" t="str">
        <f aca="false">'Invoice Sample'!C101</f>
        <v>Recurring</v>
      </c>
      <c r="C101" s="32" t="n">
        <f aca="false">'Invoice Sample'!E101</f>
        <v>114446.61</v>
      </c>
      <c r="D101" s="19" t="str">
        <f aca="false">'Invoice Sample'!M101</f>
        <v>Tier 3 (&gt;$50K)</v>
      </c>
      <c r="E101" s="19" t="str">
        <f aca="false">'Invoice Sample'!F101</f>
        <v>2/10 Net 30</v>
      </c>
      <c r="F101" s="31" t="n">
        <f aca="false">IF(B101="Recurring",'Future-State Model'!E22,'Future-State Model'!E23)</f>
        <v>0.237441860465116</v>
      </c>
      <c r="G101" s="31" t="n">
        <f aca="false">'Future-State Model'!E24</f>
        <v>2.4157</v>
      </c>
      <c r="H101" s="31" t="n">
        <f aca="false">IF(OR(D101="Tier 2 ($10K-$50K)",D101="Tier 3 (&gt;$50K)"),'Future-State Model'!E25,0)</f>
        <v>2.06456565656566</v>
      </c>
      <c r="I101" s="31" t="n">
        <f aca="false">IF(D101="Tier 3 (&gt;$50K)",'Future-State Model'!E26,0)</f>
        <v>2.43014141414141</v>
      </c>
      <c r="J101" s="31" t="n">
        <f aca="false">'Future-State Model'!E27</f>
        <v>0.686</v>
      </c>
      <c r="K101" s="12" t="n">
        <f aca="false">SUM(F101:J101)</f>
        <v>7.83384893117219</v>
      </c>
      <c r="L101" s="13" t="str">
        <f aca="false">IF(E101="2/10 Net 30","Yes","No")</f>
        <v>Yes</v>
      </c>
      <c r="M101" s="13" t="str">
        <f aca="false">IF(AND(L101="Yes",(F101+G101+H101+I101)&lt;=10),"Yes","No")</f>
        <v>Yes</v>
      </c>
      <c r="N101" s="13" t="str">
        <f aca="false">IF(K101&gt;30,"Yes","No")</f>
        <v>No</v>
      </c>
      <c r="O101" s="14" t="n">
        <f aca="false">IF(AND(L101="Yes",'Invoice Sample'!O101="No",M101="Yes"),C101*0.02,0)</f>
        <v>2288.9322</v>
      </c>
      <c r="P101" s="14" t="n">
        <f aca="false">IF(AND('Invoice Sample'!P101="Yes",N101="No"),C101*0.015,0)</f>
        <v>0</v>
      </c>
    </row>
    <row r="102" customFormat="false" ht="15" hidden="false" customHeight="false" outlineLevel="0" collapsed="false">
      <c r="A102" s="19" t="str">
        <f aca="false">'Invoice Sample'!A102</f>
        <v>INV-2131</v>
      </c>
      <c r="B102" s="19" t="str">
        <f aca="false">'Invoice Sample'!C102</f>
        <v>One-off</v>
      </c>
      <c r="C102" s="32" t="n">
        <f aca="false">'Invoice Sample'!E102</f>
        <v>46950.41</v>
      </c>
      <c r="D102" s="19" t="str">
        <f aca="false">'Invoice Sample'!M102</f>
        <v>Tier 2 ($10K-$50K)</v>
      </c>
      <c r="E102" s="19" t="str">
        <f aca="false">'Invoice Sample'!F102</f>
        <v>Net 30</v>
      </c>
      <c r="F102" s="31" t="n">
        <f aca="false">IF(B102="Recurring",'Future-State Model'!E22,'Future-State Model'!E23)</f>
        <v>1.57352941176471</v>
      </c>
      <c r="G102" s="31" t="n">
        <f aca="false">'Future-State Model'!E24</f>
        <v>2.4157</v>
      </c>
      <c r="H102" s="31" t="n">
        <f aca="false">IF(OR(D102="Tier 2 ($10K-$50K)",D102="Tier 3 (&gt;$50K)"),'Future-State Model'!E25,0)</f>
        <v>2.06456565656566</v>
      </c>
      <c r="I102" s="13" t="n">
        <f aca="false">IF(D102="Tier 3 (&gt;$50K)",'Future-State Model'!E26,0)</f>
        <v>0</v>
      </c>
      <c r="J102" s="31" t="n">
        <f aca="false">'Future-State Model'!E27</f>
        <v>0.686</v>
      </c>
      <c r="K102" s="12" t="n">
        <f aca="false">SUM(F102:J102)</f>
        <v>6.73979506833036</v>
      </c>
      <c r="L102" s="13" t="str">
        <f aca="false">IF(E102="2/10 Net 30","Yes","No")</f>
        <v>No</v>
      </c>
      <c r="M102" s="13" t="str">
        <f aca="false">IF(AND(L102="Yes",(F102+G102+H102+I102)&lt;=10),"Yes","No")</f>
        <v>No</v>
      </c>
      <c r="N102" s="13" t="str">
        <f aca="false">IF(K102&gt;30,"Yes","No")</f>
        <v>No</v>
      </c>
      <c r="O102" s="14" t="n">
        <f aca="false">IF(AND(L102="Yes",'Invoice Sample'!O102="No",M102="Yes"),C102*0.02,0)</f>
        <v>0</v>
      </c>
      <c r="P102" s="14" t="n">
        <f aca="false">IF(AND('Invoice Sample'!P102="Yes",N102="No"),C102*0.015,0)</f>
        <v>0</v>
      </c>
    </row>
    <row r="103" customFormat="false" ht="15" hidden="false" customHeight="false" outlineLevel="0" collapsed="false">
      <c r="A103" s="19" t="str">
        <f aca="false">'Invoice Sample'!A103</f>
        <v>INV-2132</v>
      </c>
      <c r="B103" s="19" t="str">
        <f aca="false">'Invoice Sample'!C103</f>
        <v>Recurring</v>
      </c>
      <c r="C103" s="32" t="n">
        <f aca="false">'Invoice Sample'!E103</f>
        <v>1946.95</v>
      </c>
      <c r="D103" s="19" t="str">
        <f aca="false">'Invoice Sample'!M103</f>
        <v>Tier 1 ($500-$10K)</v>
      </c>
      <c r="E103" s="19" t="str">
        <f aca="false">'Invoice Sample'!F103</f>
        <v>Net 30</v>
      </c>
      <c r="F103" s="31" t="n">
        <f aca="false">IF(B103="Recurring",'Future-State Model'!E22,'Future-State Model'!E23)</f>
        <v>0.237441860465116</v>
      </c>
      <c r="G103" s="31" t="n">
        <f aca="false">'Future-State Model'!E24</f>
        <v>2.4157</v>
      </c>
      <c r="H103" s="13" t="n">
        <f aca="false">IF(OR(D103="Tier 2 ($10K-$50K)",D103="Tier 3 (&gt;$50K)"),'Future-State Model'!E25,0)</f>
        <v>0</v>
      </c>
      <c r="I103" s="13" t="n">
        <f aca="false">IF(D103="Tier 3 (&gt;$50K)",'Future-State Model'!E26,0)</f>
        <v>0</v>
      </c>
      <c r="J103" s="31" t="n">
        <f aca="false">'Future-State Model'!E27</f>
        <v>0.686</v>
      </c>
      <c r="K103" s="12" t="n">
        <f aca="false">SUM(F103:J103)</f>
        <v>3.33914186046512</v>
      </c>
      <c r="L103" s="13" t="str">
        <f aca="false">IF(E103="2/10 Net 30","Yes","No")</f>
        <v>No</v>
      </c>
      <c r="M103" s="13" t="str">
        <f aca="false">IF(AND(L103="Yes",(F103+G103+H103+I103)&lt;=10),"Yes","No")</f>
        <v>No</v>
      </c>
      <c r="N103" s="13" t="str">
        <f aca="false">IF(K103&gt;30,"Yes","No")</f>
        <v>No</v>
      </c>
      <c r="O103" s="14" t="n">
        <f aca="false">IF(AND(L103="Yes",'Invoice Sample'!O103="No",M103="Yes"),C103*0.02,0)</f>
        <v>0</v>
      </c>
      <c r="P103" s="14" t="n">
        <f aca="false">IF(AND('Invoice Sample'!P103="Yes",N103="No"),C103*0.015,0)</f>
        <v>0</v>
      </c>
    </row>
    <row r="104" customFormat="false" ht="15" hidden="false" customHeight="false" outlineLevel="0" collapsed="false">
      <c r="A104" s="19" t="str">
        <f aca="false">'Invoice Sample'!A104</f>
        <v>INV-2133</v>
      </c>
      <c r="B104" s="19" t="str">
        <f aca="false">'Invoice Sample'!C104</f>
        <v>Recurring</v>
      </c>
      <c r="C104" s="32" t="n">
        <f aca="false">'Invoice Sample'!E104</f>
        <v>4990.97</v>
      </c>
      <c r="D104" s="19" t="str">
        <f aca="false">'Invoice Sample'!M104</f>
        <v>Tier 1 ($500-$10K)</v>
      </c>
      <c r="E104" s="19" t="str">
        <f aca="false">'Invoice Sample'!F104</f>
        <v>Net 30</v>
      </c>
      <c r="F104" s="31" t="n">
        <f aca="false">IF(B104="Recurring",'Future-State Model'!E22,'Future-State Model'!E23)</f>
        <v>0.237441860465116</v>
      </c>
      <c r="G104" s="31" t="n">
        <f aca="false">'Future-State Model'!E24</f>
        <v>2.4157</v>
      </c>
      <c r="H104" s="13" t="n">
        <f aca="false">IF(OR(D104="Tier 2 ($10K-$50K)",D104="Tier 3 (&gt;$50K)"),'Future-State Model'!E25,0)</f>
        <v>0</v>
      </c>
      <c r="I104" s="13" t="n">
        <f aca="false">IF(D104="Tier 3 (&gt;$50K)",'Future-State Model'!E26,0)</f>
        <v>0</v>
      </c>
      <c r="J104" s="31" t="n">
        <f aca="false">'Future-State Model'!E27</f>
        <v>0.686</v>
      </c>
      <c r="K104" s="12" t="n">
        <f aca="false">SUM(F104:J104)</f>
        <v>3.33914186046512</v>
      </c>
      <c r="L104" s="13" t="str">
        <f aca="false">IF(E104="2/10 Net 30","Yes","No")</f>
        <v>No</v>
      </c>
      <c r="M104" s="13" t="str">
        <f aca="false">IF(AND(L104="Yes",(F104+G104+H104+I104)&lt;=10),"Yes","No")</f>
        <v>No</v>
      </c>
      <c r="N104" s="13" t="str">
        <f aca="false">IF(K104&gt;30,"Yes","No")</f>
        <v>No</v>
      </c>
      <c r="O104" s="14" t="n">
        <f aca="false">IF(AND(L104="Yes",'Invoice Sample'!O104="No",M104="Yes"),C104*0.02,0)</f>
        <v>0</v>
      </c>
      <c r="P104" s="14" t="n">
        <f aca="false">IF(AND('Invoice Sample'!P104="Yes",N104="No"),C104*0.015,0)</f>
        <v>0</v>
      </c>
    </row>
    <row r="105" customFormat="false" ht="15" hidden="false" customHeight="false" outlineLevel="0" collapsed="false">
      <c r="A105" s="19" t="str">
        <f aca="false">'Invoice Sample'!A105</f>
        <v>INV-2134</v>
      </c>
      <c r="B105" s="19" t="str">
        <f aca="false">'Invoice Sample'!C105</f>
        <v>Recurring</v>
      </c>
      <c r="C105" s="32" t="n">
        <f aca="false">'Invoice Sample'!E105</f>
        <v>102473.3</v>
      </c>
      <c r="D105" s="19" t="str">
        <f aca="false">'Invoice Sample'!M105</f>
        <v>Tier 3 (&gt;$50K)</v>
      </c>
      <c r="E105" s="19" t="str">
        <f aca="false">'Invoice Sample'!F105</f>
        <v>Net 30</v>
      </c>
      <c r="F105" s="31" t="n">
        <f aca="false">IF(B105="Recurring",'Future-State Model'!E22,'Future-State Model'!E23)</f>
        <v>0.237441860465116</v>
      </c>
      <c r="G105" s="31" t="n">
        <f aca="false">'Future-State Model'!E24</f>
        <v>2.4157</v>
      </c>
      <c r="H105" s="31" t="n">
        <f aca="false">IF(OR(D105="Tier 2 ($10K-$50K)",D105="Tier 3 (&gt;$50K)"),'Future-State Model'!E25,0)</f>
        <v>2.06456565656566</v>
      </c>
      <c r="I105" s="31" t="n">
        <f aca="false">IF(D105="Tier 3 (&gt;$50K)",'Future-State Model'!E26,0)</f>
        <v>2.43014141414141</v>
      </c>
      <c r="J105" s="31" t="n">
        <f aca="false">'Future-State Model'!E27</f>
        <v>0.686</v>
      </c>
      <c r="K105" s="12" t="n">
        <f aca="false">SUM(F105:J105)</f>
        <v>7.83384893117219</v>
      </c>
      <c r="L105" s="13" t="str">
        <f aca="false">IF(E105="2/10 Net 30","Yes","No")</f>
        <v>No</v>
      </c>
      <c r="M105" s="13" t="str">
        <f aca="false">IF(AND(L105="Yes",(F105+G105+H105+I105)&lt;=10),"Yes","No")</f>
        <v>No</v>
      </c>
      <c r="N105" s="13" t="str">
        <f aca="false">IF(K105&gt;30,"Yes","No")</f>
        <v>No</v>
      </c>
      <c r="O105" s="14" t="n">
        <f aca="false">IF(AND(L105="Yes",'Invoice Sample'!O105="No",M105="Yes"),C105*0.02,0)</f>
        <v>0</v>
      </c>
      <c r="P105" s="14" t="n">
        <f aca="false">IF(AND('Invoice Sample'!P105="Yes",N105="No"),C105*0.015,0)</f>
        <v>0</v>
      </c>
    </row>
    <row r="106" customFormat="false" ht="15" hidden="false" customHeight="false" outlineLevel="0" collapsed="false">
      <c r="A106" s="19" t="str">
        <f aca="false">'Invoice Sample'!A106</f>
        <v>INV-2135</v>
      </c>
      <c r="B106" s="19" t="str">
        <f aca="false">'Invoice Sample'!C106</f>
        <v>Recurring</v>
      </c>
      <c r="C106" s="32" t="n">
        <f aca="false">'Invoice Sample'!E106</f>
        <v>32472.2</v>
      </c>
      <c r="D106" s="19" t="str">
        <f aca="false">'Invoice Sample'!M106</f>
        <v>Tier 2 ($10K-$50K)</v>
      </c>
      <c r="E106" s="19" t="str">
        <f aca="false">'Invoice Sample'!F106</f>
        <v>Net 30</v>
      </c>
      <c r="F106" s="31" t="n">
        <f aca="false">IF(B106="Recurring",'Future-State Model'!E22,'Future-State Model'!E23)</f>
        <v>0.237441860465116</v>
      </c>
      <c r="G106" s="31" t="n">
        <f aca="false">'Future-State Model'!E24</f>
        <v>2.4157</v>
      </c>
      <c r="H106" s="31" t="n">
        <f aca="false">IF(OR(D106="Tier 2 ($10K-$50K)",D106="Tier 3 (&gt;$50K)"),'Future-State Model'!E25,0)</f>
        <v>2.06456565656566</v>
      </c>
      <c r="I106" s="13" t="n">
        <f aca="false">IF(D106="Tier 3 (&gt;$50K)",'Future-State Model'!E26,0)</f>
        <v>0</v>
      </c>
      <c r="J106" s="31" t="n">
        <f aca="false">'Future-State Model'!E27</f>
        <v>0.686</v>
      </c>
      <c r="K106" s="12" t="n">
        <f aca="false">SUM(F106:J106)</f>
        <v>5.40370751703077</v>
      </c>
      <c r="L106" s="13" t="str">
        <f aca="false">IF(E106="2/10 Net 30","Yes","No")</f>
        <v>No</v>
      </c>
      <c r="M106" s="13" t="str">
        <f aca="false">IF(AND(L106="Yes",(F106+G106+H106+I106)&lt;=10),"Yes","No")</f>
        <v>No</v>
      </c>
      <c r="N106" s="13" t="str">
        <f aca="false">IF(K106&gt;30,"Yes","No")</f>
        <v>No</v>
      </c>
      <c r="O106" s="14" t="n">
        <f aca="false">IF(AND(L106="Yes",'Invoice Sample'!O106="No",M106="Yes"),C106*0.02,0)</f>
        <v>0</v>
      </c>
      <c r="P106" s="14" t="n">
        <f aca="false">IF(AND('Invoice Sample'!P106="Yes",N106="No"),C106*0.015,0)</f>
        <v>0</v>
      </c>
    </row>
    <row r="107" customFormat="false" ht="15" hidden="false" customHeight="false" outlineLevel="0" collapsed="false">
      <c r="A107" s="19" t="str">
        <f aca="false">'Invoice Sample'!A107</f>
        <v>INV-2136</v>
      </c>
      <c r="B107" s="19" t="str">
        <f aca="false">'Invoice Sample'!C107</f>
        <v>Recurring</v>
      </c>
      <c r="C107" s="32" t="n">
        <f aca="false">'Invoice Sample'!E107</f>
        <v>1695.04</v>
      </c>
      <c r="D107" s="19" t="str">
        <f aca="false">'Invoice Sample'!M107</f>
        <v>Tier 1 ($500-$10K)</v>
      </c>
      <c r="E107" s="19" t="str">
        <f aca="false">'Invoice Sample'!F107</f>
        <v>2/10 Net 30</v>
      </c>
      <c r="F107" s="31" t="n">
        <f aca="false">IF(B107="Recurring",'Future-State Model'!E22,'Future-State Model'!E23)</f>
        <v>0.237441860465116</v>
      </c>
      <c r="G107" s="31" t="n">
        <f aca="false">'Future-State Model'!E24</f>
        <v>2.4157</v>
      </c>
      <c r="H107" s="13" t="n">
        <f aca="false">IF(OR(D107="Tier 2 ($10K-$50K)",D107="Tier 3 (&gt;$50K)"),'Future-State Model'!E25,0)</f>
        <v>0</v>
      </c>
      <c r="I107" s="13" t="n">
        <f aca="false">IF(D107="Tier 3 (&gt;$50K)",'Future-State Model'!E26,0)</f>
        <v>0</v>
      </c>
      <c r="J107" s="31" t="n">
        <f aca="false">'Future-State Model'!E27</f>
        <v>0.686</v>
      </c>
      <c r="K107" s="12" t="n">
        <f aca="false">SUM(F107:J107)</f>
        <v>3.33914186046512</v>
      </c>
      <c r="L107" s="13" t="str">
        <f aca="false">IF(E107="2/10 Net 30","Yes","No")</f>
        <v>Yes</v>
      </c>
      <c r="M107" s="13" t="str">
        <f aca="false">IF(AND(L107="Yes",(F107+G107+H107+I107)&lt;=10),"Yes","No")</f>
        <v>Yes</v>
      </c>
      <c r="N107" s="13" t="str">
        <f aca="false">IF(K107&gt;30,"Yes","No")</f>
        <v>No</v>
      </c>
      <c r="O107" s="14" t="n">
        <f aca="false">IF(AND(L107="Yes",'Invoice Sample'!O107="No",M107="Yes"),C107*0.02,0)</f>
        <v>33.9008</v>
      </c>
      <c r="P107" s="14" t="n">
        <f aca="false">IF(AND('Invoice Sample'!P107="Yes",N107="No"),C107*0.015,0)</f>
        <v>0</v>
      </c>
    </row>
    <row r="108" customFormat="false" ht="15" hidden="false" customHeight="false" outlineLevel="0" collapsed="false">
      <c r="A108" s="19" t="str">
        <f aca="false">'Invoice Sample'!A108</f>
        <v>INV-2137</v>
      </c>
      <c r="B108" s="19" t="str">
        <f aca="false">'Invoice Sample'!C108</f>
        <v>Recurring</v>
      </c>
      <c r="C108" s="32" t="n">
        <f aca="false">'Invoice Sample'!E108</f>
        <v>8675.13</v>
      </c>
      <c r="D108" s="19" t="str">
        <f aca="false">'Invoice Sample'!M108</f>
        <v>Tier 1 ($500-$10K)</v>
      </c>
      <c r="E108" s="19" t="str">
        <f aca="false">'Invoice Sample'!F108</f>
        <v>2/10 Net 30</v>
      </c>
      <c r="F108" s="31" t="n">
        <f aca="false">IF(B108="Recurring",'Future-State Model'!E22,'Future-State Model'!E23)</f>
        <v>0.237441860465116</v>
      </c>
      <c r="G108" s="31" t="n">
        <f aca="false">'Future-State Model'!E24</f>
        <v>2.4157</v>
      </c>
      <c r="H108" s="13" t="n">
        <f aca="false">IF(OR(D108="Tier 2 ($10K-$50K)",D108="Tier 3 (&gt;$50K)"),'Future-State Model'!E25,0)</f>
        <v>0</v>
      </c>
      <c r="I108" s="13" t="n">
        <f aca="false">IF(D108="Tier 3 (&gt;$50K)",'Future-State Model'!E26,0)</f>
        <v>0</v>
      </c>
      <c r="J108" s="31" t="n">
        <f aca="false">'Future-State Model'!E27</f>
        <v>0.686</v>
      </c>
      <c r="K108" s="12" t="n">
        <f aca="false">SUM(F108:J108)</f>
        <v>3.33914186046512</v>
      </c>
      <c r="L108" s="13" t="str">
        <f aca="false">IF(E108="2/10 Net 30","Yes","No")</f>
        <v>Yes</v>
      </c>
      <c r="M108" s="13" t="str">
        <f aca="false">IF(AND(L108="Yes",(F108+G108+H108+I108)&lt;=10),"Yes","No")</f>
        <v>Yes</v>
      </c>
      <c r="N108" s="13" t="str">
        <f aca="false">IF(K108&gt;30,"Yes","No")</f>
        <v>No</v>
      </c>
      <c r="O108" s="14" t="n">
        <f aca="false">IF(AND(L108="Yes",'Invoice Sample'!O108="No",M108="Yes"),C108*0.02,0)</f>
        <v>173.5026</v>
      </c>
      <c r="P108" s="14" t="n">
        <f aca="false">IF(AND('Invoice Sample'!P108="Yes",N108="No"),C108*0.015,0)</f>
        <v>0</v>
      </c>
    </row>
    <row r="109" customFormat="false" ht="15" hidden="false" customHeight="false" outlineLevel="0" collapsed="false">
      <c r="A109" s="19" t="str">
        <f aca="false">'Invoice Sample'!A109</f>
        <v>INV-2138</v>
      </c>
      <c r="B109" s="19" t="str">
        <f aca="false">'Invoice Sample'!C109</f>
        <v>Recurring</v>
      </c>
      <c r="C109" s="32" t="n">
        <f aca="false">'Invoice Sample'!E109</f>
        <v>2423.76</v>
      </c>
      <c r="D109" s="19" t="str">
        <f aca="false">'Invoice Sample'!M109</f>
        <v>Tier 1 ($500-$10K)</v>
      </c>
      <c r="E109" s="19" t="str">
        <f aca="false">'Invoice Sample'!F109</f>
        <v>Net 30</v>
      </c>
      <c r="F109" s="31" t="n">
        <f aca="false">IF(B109="Recurring",'Future-State Model'!E22,'Future-State Model'!E23)</f>
        <v>0.237441860465116</v>
      </c>
      <c r="G109" s="31" t="n">
        <f aca="false">'Future-State Model'!E24</f>
        <v>2.4157</v>
      </c>
      <c r="H109" s="13" t="n">
        <f aca="false">IF(OR(D109="Tier 2 ($10K-$50K)",D109="Tier 3 (&gt;$50K)"),'Future-State Model'!E25,0)</f>
        <v>0</v>
      </c>
      <c r="I109" s="13" t="n">
        <f aca="false">IF(D109="Tier 3 (&gt;$50K)",'Future-State Model'!E26,0)</f>
        <v>0</v>
      </c>
      <c r="J109" s="31" t="n">
        <f aca="false">'Future-State Model'!E27</f>
        <v>0.686</v>
      </c>
      <c r="K109" s="12" t="n">
        <f aca="false">SUM(F109:J109)</f>
        <v>3.33914186046512</v>
      </c>
      <c r="L109" s="13" t="str">
        <f aca="false">IF(E109="2/10 Net 30","Yes","No")</f>
        <v>No</v>
      </c>
      <c r="M109" s="13" t="str">
        <f aca="false">IF(AND(L109="Yes",(F109+G109+H109+I109)&lt;=10),"Yes","No")</f>
        <v>No</v>
      </c>
      <c r="N109" s="13" t="str">
        <f aca="false">IF(K109&gt;30,"Yes","No")</f>
        <v>No</v>
      </c>
      <c r="O109" s="14" t="n">
        <f aca="false">IF(AND(L109="Yes",'Invoice Sample'!O109="No",M109="Yes"),C109*0.02,0)</f>
        <v>0</v>
      </c>
      <c r="P109" s="14" t="n">
        <f aca="false">IF(AND('Invoice Sample'!P109="Yes",N109="No"),C109*0.015,0)</f>
        <v>0</v>
      </c>
    </row>
    <row r="110" customFormat="false" ht="15" hidden="false" customHeight="false" outlineLevel="0" collapsed="false">
      <c r="A110" s="19" t="str">
        <f aca="false">'Invoice Sample'!A110</f>
        <v>INV-2139</v>
      </c>
      <c r="B110" s="19" t="str">
        <f aca="false">'Invoice Sample'!C110</f>
        <v>Recurring</v>
      </c>
      <c r="C110" s="32" t="n">
        <f aca="false">'Invoice Sample'!E110</f>
        <v>247.46</v>
      </c>
      <c r="D110" s="19" t="str">
        <f aca="false">'Invoice Sample'!M110</f>
        <v>Tier 0 (&lt;$500)</v>
      </c>
      <c r="E110" s="19" t="str">
        <f aca="false">'Invoice Sample'!F110</f>
        <v>Net 30</v>
      </c>
      <c r="F110" s="31" t="n">
        <f aca="false">IF(B110="Recurring",'Future-State Model'!E22,'Future-State Model'!E23)</f>
        <v>0.237441860465116</v>
      </c>
      <c r="G110" s="31" t="n">
        <f aca="false">'Future-State Model'!E24</f>
        <v>2.4157</v>
      </c>
      <c r="H110" s="13" t="n">
        <f aca="false">IF(OR(D110="Tier 2 ($10K-$50K)",D110="Tier 3 (&gt;$50K)"),'Future-State Model'!E25,0)</f>
        <v>0</v>
      </c>
      <c r="I110" s="13" t="n">
        <f aca="false">IF(D110="Tier 3 (&gt;$50K)",'Future-State Model'!E26,0)</f>
        <v>0</v>
      </c>
      <c r="J110" s="31" t="n">
        <f aca="false">'Future-State Model'!E27</f>
        <v>0.686</v>
      </c>
      <c r="K110" s="12" t="n">
        <f aca="false">SUM(F110:J110)</f>
        <v>3.33914186046512</v>
      </c>
      <c r="L110" s="13" t="str">
        <f aca="false">IF(E110="2/10 Net 30","Yes","No")</f>
        <v>No</v>
      </c>
      <c r="M110" s="13" t="str">
        <f aca="false">IF(AND(L110="Yes",(F110+G110+H110+I110)&lt;=10),"Yes","No")</f>
        <v>No</v>
      </c>
      <c r="N110" s="13" t="str">
        <f aca="false">IF(K110&gt;30,"Yes","No")</f>
        <v>No</v>
      </c>
      <c r="O110" s="14" t="n">
        <f aca="false">IF(AND(L110="Yes",'Invoice Sample'!O110="No",M110="Yes"),C110*0.02,0)</f>
        <v>0</v>
      </c>
      <c r="P110" s="14" t="n">
        <f aca="false">IF(AND('Invoice Sample'!P110="Yes",N110="No"),C110*0.015,0)</f>
        <v>0</v>
      </c>
    </row>
    <row r="111" customFormat="false" ht="15" hidden="false" customHeight="false" outlineLevel="0" collapsed="false">
      <c r="A111" s="19" t="str">
        <f aca="false">'Invoice Sample'!A111</f>
        <v>INV-2140</v>
      </c>
      <c r="B111" s="19" t="str">
        <f aca="false">'Invoice Sample'!C111</f>
        <v>Recurring</v>
      </c>
      <c r="C111" s="32" t="n">
        <f aca="false">'Invoice Sample'!E111</f>
        <v>47436.56</v>
      </c>
      <c r="D111" s="19" t="str">
        <f aca="false">'Invoice Sample'!M111</f>
        <v>Tier 2 ($10K-$50K)</v>
      </c>
      <c r="E111" s="19" t="str">
        <f aca="false">'Invoice Sample'!F111</f>
        <v>Net 30</v>
      </c>
      <c r="F111" s="31" t="n">
        <f aca="false">IF(B111="Recurring",'Future-State Model'!E22,'Future-State Model'!E23)</f>
        <v>0.237441860465116</v>
      </c>
      <c r="G111" s="31" t="n">
        <f aca="false">'Future-State Model'!E24</f>
        <v>2.4157</v>
      </c>
      <c r="H111" s="31" t="n">
        <f aca="false">IF(OR(D111="Tier 2 ($10K-$50K)",D111="Tier 3 (&gt;$50K)"),'Future-State Model'!E25,0)</f>
        <v>2.06456565656566</v>
      </c>
      <c r="I111" s="13" t="n">
        <f aca="false">IF(D111="Tier 3 (&gt;$50K)",'Future-State Model'!E26,0)</f>
        <v>0</v>
      </c>
      <c r="J111" s="31" t="n">
        <f aca="false">'Future-State Model'!E27</f>
        <v>0.686</v>
      </c>
      <c r="K111" s="12" t="n">
        <f aca="false">SUM(F111:J111)</f>
        <v>5.40370751703077</v>
      </c>
      <c r="L111" s="13" t="str">
        <f aca="false">IF(E111="2/10 Net 30","Yes","No")</f>
        <v>No</v>
      </c>
      <c r="M111" s="13" t="str">
        <f aca="false">IF(AND(L111="Yes",(F111+G111+H111+I111)&lt;=10),"Yes","No")</f>
        <v>No</v>
      </c>
      <c r="N111" s="13" t="str">
        <f aca="false">IF(K111&gt;30,"Yes","No")</f>
        <v>No</v>
      </c>
      <c r="O111" s="14" t="n">
        <f aca="false">IF(AND(L111="Yes",'Invoice Sample'!O111="No",M111="Yes"),C111*0.02,0)</f>
        <v>0</v>
      </c>
      <c r="P111" s="14" t="n">
        <f aca="false">IF(AND('Invoice Sample'!P111="Yes",N111="No"),C111*0.015,0)</f>
        <v>0</v>
      </c>
    </row>
    <row r="112" customFormat="false" ht="15" hidden="false" customHeight="false" outlineLevel="0" collapsed="false">
      <c r="A112" s="19" t="str">
        <f aca="false">'Invoice Sample'!A112</f>
        <v>INV-2141</v>
      </c>
      <c r="B112" s="19" t="str">
        <f aca="false">'Invoice Sample'!C112</f>
        <v>Recurring</v>
      </c>
      <c r="C112" s="32" t="n">
        <f aca="false">'Invoice Sample'!E112</f>
        <v>9275.88</v>
      </c>
      <c r="D112" s="19" t="str">
        <f aca="false">'Invoice Sample'!M112</f>
        <v>Tier 1 ($500-$10K)</v>
      </c>
      <c r="E112" s="19" t="str">
        <f aca="false">'Invoice Sample'!F112</f>
        <v>Net 30</v>
      </c>
      <c r="F112" s="31" t="n">
        <f aca="false">IF(B112="Recurring",'Future-State Model'!E22,'Future-State Model'!E23)</f>
        <v>0.237441860465116</v>
      </c>
      <c r="G112" s="31" t="n">
        <f aca="false">'Future-State Model'!E24</f>
        <v>2.4157</v>
      </c>
      <c r="H112" s="13" t="n">
        <f aca="false">IF(OR(D112="Tier 2 ($10K-$50K)",D112="Tier 3 (&gt;$50K)"),'Future-State Model'!E25,0)</f>
        <v>0</v>
      </c>
      <c r="I112" s="13" t="n">
        <f aca="false">IF(D112="Tier 3 (&gt;$50K)",'Future-State Model'!E26,0)</f>
        <v>0</v>
      </c>
      <c r="J112" s="31" t="n">
        <f aca="false">'Future-State Model'!E27</f>
        <v>0.686</v>
      </c>
      <c r="K112" s="12" t="n">
        <f aca="false">SUM(F112:J112)</f>
        <v>3.33914186046512</v>
      </c>
      <c r="L112" s="13" t="str">
        <f aca="false">IF(E112="2/10 Net 30","Yes","No")</f>
        <v>No</v>
      </c>
      <c r="M112" s="13" t="str">
        <f aca="false">IF(AND(L112="Yes",(F112+G112+H112+I112)&lt;=10),"Yes","No")</f>
        <v>No</v>
      </c>
      <c r="N112" s="13" t="str">
        <f aca="false">IF(K112&gt;30,"Yes","No")</f>
        <v>No</v>
      </c>
      <c r="O112" s="14" t="n">
        <f aca="false">IF(AND(L112="Yes",'Invoice Sample'!O112="No",M112="Yes"),C112*0.02,0)</f>
        <v>0</v>
      </c>
      <c r="P112" s="14" t="n">
        <f aca="false">IF(AND('Invoice Sample'!P112="Yes",N112="No"),C112*0.015,0)</f>
        <v>0</v>
      </c>
    </row>
    <row r="113" customFormat="false" ht="15" hidden="false" customHeight="false" outlineLevel="0" collapsed="false">
      <c r="A113" s="19" t="str">
        <f aca="false">'Invoice Sample'!A113</f>
        <v>INV-2142</v>
      </c>
      <c r="B113" s="19" t="str">
        <f aca="false">'Invoice Sample'!C113</f>
        <v>Recurring</v>
      </c>
      <c r="C113" s="32" t="n">
        <f aca="false">'Invoice Sample'!E113</f>
        <v>6625.14</v>
      </c>
      <c r="D113" s="19" t="str">
        <f aca="false">'Invoice Sample'!M113</f>
        <v>Tier 1 ($500-$10K)</v>
      </c>
      <c r="E113" s="19" t="str">
        <f aca="false">'Invoice Sample'!F113</f>
        <v>2/10 Net 30</v>
      </c>
      <c r="F113" s="31" t="n">
        <f aca="false">IF(B113="Recurring",'Future-State Model'!E22,'Future-State Model'!E23)</f>
        <v>0.237441860465116</v>
      </c>
      <c r="G113" s="31" t="n">
        <f aca="false">'Future-State Model'!E24</f>
        <v>2.4157</v>
      </c>
      <c r="H113" s="13" t="n">
        <f aca="false">IF(OR(D113="Tier 2 ($10K-$50K)",D113="Tier 3 (&gt;$50K)"),'Future-State Model'!E25,0)</f>
        <v>0</v>
      </c>
      <c r="I113" s="13" t="n">
        <f aca="false">IF(D113="Tier 3 (&gt;$50K)",'Future-State Model'!E26,0)</f>
        <v>0</v>
      </c>
      <c r="J113" s="31" t="n">
        <f aca="false">'Future-State Model'!E27</f>
        <v>0.686</v>
      </c>
      <c r="K113" s="12" t="n">
        <f aca="false">SUM(F113:J113)</f>
        <v>3.33914186046512</v>
      </c>
      <c r="L113" s="13" t="str">
        <f aca="false">IF(E113="2/10 Net 30","Yes","No")</f>
        <v>Yes</v>
      </c>
      <c r="M113" s="13" t="str">
        <f aca="false">IF(AND(L113="Yes",(F113+G113+H113+I113)&lt;=10),"Yes","No")</f>
        <v>Yes</v>
      </c>
      <c r="N113" s="13" t="str">
        <f aca="false">IF(K113&gt;30,"Yes","No")</f>
        <v>No</v>
      </c>
      <c r="O113" s="14" t="n">
        <f aca="false">IF(AND(L113="Yes",'Invoice Sample'!O113="No",M113="Yes"),C113*0.02,0)</f>
        <v>132.5028</v>
      </c>
      <c r="P113" s="14" t="n">
        <f aca="false">IF(AND('Invoice Sample'!P113="Yes",N113="No"),C113*0.015,0)</f>
        <v>0</v>
      </c>
    </row>
    <row r="114" customFormat="false" ht="15" hidden="false" customHeight="false" outlineLevel="0" collapsed="false">
      <c r="A114" s="19" t="str">
        <f aca="false">'Invoice Sample'!A114</f>
        <v>INV-2143</v>
      </c>
      <c r="B114" s="19" t="str">
        <f aca="false">'Invoice Sample'!C114</f>
        <v>One-off</v>
      </c>
      <c r="C114" s="32" t="n">
        <f aca="false">'Invoice Sample'!E114</f>
        <v>571.31</v>
      </c>
      <c r="D114" s="19" t="str">
        <f aca="false">'Invoice Sample'!M114</f>
        <v>Tier 1 ($500-$10K)</v>
      </c>
      <c r="E114" s="19" t="str">
        <f aca="false">'Invoice Sample'!F114</f>
        <v>2/10 Net 30</v>
      </c>
      <c r="F114" s="31" t="n">
        <f aca="false">IF(B114="Recurring",'Future-State Model'!E22,'Future-State Model'!E23)</f>
        <v>1.57352941176471</v>
      </c>
      <c r="G114" s="31" t="n">
        <f aca="false">'Future-State Model'!E24</f>
        <v>2.4157</v>
      </c>
      <c r="H114" s="13" t="n">
        <f aca="false">IF(OR(D114="Tier 2 ($10K-$50K)",D114="Tier 3 (&gt;$50K)"),'Future-State Model'!E25,0)</f>
        <v>0</v>
      </c>
      <c r="I114" s="13" t="n">
        <f aca="false">IF(D114="Tier 3 (&gt;$50K)",'Future-State Model'!E26,0)</f>
        <v>0</v>
      </c>
      <c r="J114" s="31" t="n">
        <f aca="false">'Future-State Model'!E27</f>
        <v>0.686</v>
      </c>
      <c r="K114" s="12" t="n">
        <f aca="false">SUM(F114:J114)</f>
        <v>4.67522941176471</v>
      </c>
      <c r="L114" s="13" t="str">
        <f aca="false">IF(E114="2/10 Net 30","Yes","No")</f>
        <v>Yes</v>
      </c>
      <c r="M114" s="13" t="str">
        <f aca="false">IF(AND(L114="Yes",(F114+G114+H114+I114)&lt;=10),"Yes","No")</f>
        <v>Yes</v>
      </c>
      <c r="N114" s="13" t="str">
        <f aca="false">IF(K114&gt;30,"Yes","No")</f>
        <v>No</v>
      </c>
      <c r="O114" s="14" t="n">
        <f aca="false">IF(AND(L114="Yes",'Invoice Sample'!O114="No",M114="Yes"),C114*0.02,0)</f>
        <v>11.4262</v>
      </c>
      <c r="P114" s="14" t="n">
        <f aca="false">IF(AND('Invoice Sample'!P114="Yes",N114="No"),C114*0.015,0)</f>
        <v>0</v>
      </c>
    </row>
    <row r="115" customFormat="false" ht="15" hidden="false" customHeight="false" outlineLevel="0" collapsed="false">
      <c r="A115" s="19" t="str">
        <f aca="false">'Invoice Sample'!A115</f>
        <v>INV-2144</v>
      </c>
      <c r="B115" s="19" t="str">
        <f aca="false">'Invoice Sample'!C115</f>
        <v>Recurring</v>
      </c>
      <c r="C115" s="32" t="n">
        <f aca="false">'Invoice Sample'!E115</f>
        <v>2329.42</v>
      </c>
      <c r="D115" s="19" t="str">
        <f aca="false">'Invoice Sample'!M115</f>
        <v>Tier 1 ($500-$10K)</v>
      </c>
      <c r="E115" s="19" t="str">
        <f aca="false">'Invoice Sample'!F115</f>
        <v>2/10 Net 30</v>
      </c>
      <c r="F115" s="31" t="n">
        <f aca="false">IF(B115="Recurring",'Future-State Model'!E22,'Future-State Model'!E23)</f>
        <v>0.237441860465116</v>
      </c>
      <c r="G115" s="31" t="n">
        <f aca="false">'Future-State Model'!E24</f>
        <v>2.4157</v>
      </c>
      <c r="H115" s="13" t="n">
        <f aca="false">IF(OR(D115="Tier 2 ($10K-$50K)",D115="Tier 3 (&gt;$50K)"),'Future-State Model'!E25,0)</f>
        <v>0</v>
      </c>
      <c r="I115" s="13" t="n">
        <f aca="false">IF(D115="Tier 3 (&gt;$50K)",'Future-State Model'!E26,0)</f>
        <v>0</v>
      </c>
      <c r="J115" s="31" t="n">
        <f aca="false">'Future-State Model'!E27</f>
        <v>0.686</v>
      </c>
      <c r="K115" s="12" t="n">
        <f aca="false">SUM(F115:J115)</f>
        <v>3.33914186046512</v>
      </c>
      <c r="L115" s="13" t="str">
        <f aca="false">IF(E115="2/10 Net 30","Yes","No")</f>
        <v>Yes</v>
      </c>
      <c r="M115" s="13" t="str">
        <f aca="false">IF(AND(L115="Yes",(F115+G115+H115+I115)&lt;=10),"Yes","No")</f>
        <v>Yes</v>
      </c>
      <c r="N115" s="13" t="str">
        <f aca="false">IF(K115&gt;30,"Yes","No")</f>
        <v>No</v>
      </c>
      <c r="O115" s="14" t="n">
        <f aca="false">IF(AND(L115="Yes",'Invoice Sample'!O115="No",M115="Yes"),C115*0.02,0)</f>
        <v>46.5884</v>
      </c>
      <c r="P115" s="14" t="n">
        <f aca="false">IF(AND('Invoice Sample'!P115="Yes",N115="No"),C115*0.015,0)</f>
        <v>0</v>
      </c>
    </row>
    <row r="116" customFormat="false" ht="15" hidden="false" customHeight="false" outlineLevel="0" collapsed="false">
      <c r="A116" s="19" t="str">
        <f aca="false">'Invoice Sample'!A116</f>
        <v>INV-2145</v>
      </c>
      <c r="B116" s="19" t="str">
        <f aca="false">'Invoice Sample'!C116</f>
        <v>Recurring</v>
      </c>
      <c r="C116" s="32" t="n">
        <f aca="false">'Invoice Sample'!E116</f>
        <v>193.39</v>
      </c>
      <c r="D116" s="19" t="str">
        <f aca="false">'Invoice Sample'!M116</f>
        <v>Tier 0 (&lt;$500)</v>
      </c>
      <c r="E116" s="19" t="str">
        <f aca="false">'Invoice Sample'!F116</f>
        <v>Net 30</v>
      </c>
      <c r="F116" s="31" t="n">
        <f aca="false">IF(B116="Recurring",'Future-State Model'!E22,'Future-State Model'!E23)</f>
        <v>0.237441860465116</v>
      </c>
      <c r="G116" s="31" t="n">
        <f aca="false">'Future-State Model'!E24</f>
        <v>2.4157</v>
      </c>
      <c r="H116" s="13" t="n">
        <f aca="false">IF(OR(D116="Tier 2 ($10K-$50K)",D116="Tier 3 (&gt;$50K)"),'Future-State Model'!E25,0)</f>
        <v>0</v>
      </c>
      <c r="I116" s="13" t="n">
        <f aca="false">IF(D116="Tier 3 (&gt;$50K)",'Future-State Model'!E26,0)</f>
        <v>0</v>
      </c>
      <c r="J116" s="31" t="n">
        <f aca="false">'Future-State Model'!E27</f>
        <v>0.686</v>
      </c>
      <c r="K116" s="12" t="n">
        <f aca="false">SUM(F116:J116)</f>
        <v>3.33914186046512</v>
      </c>
      <c r="L116" s="13" t="str">
        <f aca="false">IF(E116="2/10 Net 30","Yes","No")</f>
        <v>No</v>
      </c>
      <c r="M116" s="13" t="str">
        <f aca="false">IF(AND(L116="Yes",(F116+G116+H116+I116)&lt;=10),"Yes","No")</f>
        <v>No</v>
      </c>
      <c r="N116" s="13" t="str">
        <f aca="false">IF(K116&gt;30,"Yes","No")</f>
        <v>No</v>
      </c>
      <c r="O116" s="14" t="n">
        <f aca="false">IF(AND(L116="Yes",'Invoice Sample'!O116="No",M116="Yes"),C116*0.02,0)</f>
        <v>0</v>
      </c>
      <c r="P116" s="14" t="n">
        <f aca="false">IF(AND('Invoice Sample'!P116="Yes",N116="No"),C116*0.015,0)</f>
        <v>0</v>
      </c>
    </row>
    <row r="117" customFormat="false" ht="15" hidden="false" customHeight="false" outlineLevel="0" collapsed="false">
      <c r="A117" s="19" t="str">
        <f aca="false">'Invoice Sample'!A117</f>
        <v>INV-2146</v>
      </c>
      <c r="B117" s="19" t="str">
        <f aca="false">'Invoice Sample'!C117</f>
        <v>Recurring</v>
      </c>
      <c r="C117" s="32" t="n">
        <f aca="false">'Invoice Sample'!E117</f>
        <v>32086.84</v>
      </c>
      <c r="D117" s="19" t="str">
        <f aca="false">'Invoice Sample'!M117</f>
        <v>Tier 2 ($10K-$50K)</v>
      </c>
      <c r="E117" s="19" t="str">
        <f aca="false">'Invoice Sample'!F117</f>
        <v>Net 30</v>
      </c>
      <c r="F117" s="31" t="n">
        <f aca="false">IF(B117="Recurring",'Future-State Model'!E22,'Future-State Model'!E23)</f>
        <v>0.237441860465116</v>
      </c>
      <c r="G117" s="31" t="n">
        <f aca="false">'Future-State Model'!E24</f>
        <v>2.4157</v>
      </c>
      <c r="H117" s="31" t="n">
        <f aca="false">IF(OR(D117="Tier 2 ($10K-$50K)",D117="Tier 3 (&gt;$50K)"),'Future-State Model'!E25,0)</f>
        <v>2.06456565656566</v>
      </c>
      <c r="I117" s="13" t="n">
        <f aca="false">IF(D117="Tier 3 (&gt;$50K)",'Future-State Model'!E26,0)</f>
        <v>0</v>
      </c>
      <c r="J117" s="31" t="n">
        <f aca="false">'Future-State Model'!E27</f>
        <v>0.686</v>
      </c>
      <c r="K117" s="12" t="n">
        <f aca="false">SUM(F117:J117)</f>
        <v>5.40370751703077</v>
      </c>
      <c r="L117" s="13" t="str">
        <f aca="false">IF(E117="2/10 Net 30","Yes","No")</f>
        <v>No</v>
      </c>
      <c r="M117" s="13" t="str">
        <f aca="false">IF(AND(L117="Yes",(F117+G117+H117+I117)&lt;=10),"Yes","No")</f>
        <v>No</v>
      </c>
      <c r="N117" s="13" t="str">
        <f aca="false">IF(K117&gt;30,"Yes","No")</f>
        <v>No</v>
      </c>
      <c r="O117" s="14" t="n">
        <f aca="false">IF(AND(L117="Yes",'Invoice Sample'!O117="No",M117="Yes"),C117*0.02,0)</f>
        <v>0</v>
      </c>
      <c r="P117" s="14" t="n">
        <f aca="false">IF(AND('Invoice Sample'!P117="Yes",N117="No"),C117*0.015,0)</f>
        <v>0</v>
      </c>
    </row>
    <row r="118" customFormat="false" ht="15" hidden="false" customHeight="false" outlineLevel="0" collapsed="false">
      <c r="A118" s="19" t="str">
        <f aca="false">'Invoice Sample'!A118</f>
        <v>INV-2147</v>
      </c>
      <c r="B118" s="19" t="str">
        <f aca="false">'Invoice Sample'!C118</f>
        <v>Recurring</v>
      </c>
      <c r="C118" s="32" t="n">
        <f aca="false">'Invoice Sample'!E118</f>
        <v>22732.74</v>
      </c>
      <c r="D118" s="19" t="str">
        <f aca="false">'Invoice Sample'!M118</f>
        <v>Tier 2 ($10K-$50K)</v>
      </c>
      <c r="E118" s="19" t="str">
        <f aca="false">'Invoice Sample'!F118</f>
        <v>Net 30</v>
      </c>
      <c r="F118" s="31" t="n">
        <f aca="false">IF(B118="Recurring",'Future-State Model'!E22,'Future-State Model'!E23)</f>
        <v>0.237441860465116</v>
      </c>
      <c r="G118" s="31" t="n">
        <f aca="false">'Future-State Model'!E24</f>
        <v>2.4157</v>
      </c>
      <c r="H118" s="31" t="n">
        <f aca="false">IF(OR(D118="Tier 2 ($10K-$50K)",D118="Tier 3 (&gt;$50K)"),'Future-State Model'!E25,0)</f>
        <v>2.06456565656566</v>
      </c>
      <c r="I118" s="13" t="n">
        <f aca="false">IF(D118="Tier 3 (&gt;$50K)",'Future-State Model'!E26,0)</f>
        <v>0</v>
      </c>
      <c r="J118" s="31" t="n">
        <f aca="false">'Future-State Model'!E27</f>
        <v>0.686</v>
      </c>
      <c r="K118" s="12" t="n">
        <f aca="false">SUM(F118:J118)</f>
        <v>5.40370751703077</v>
      </c>
      <c r="L118" s="13" t="str">
        <f aca="false">IF(E118="2/10 Net 30","Yes","No")</f>
        <v>No</v>
      </c>
      <c r="M118" s="13" t="str">
        <f aca="false">IF(AND(L118="Yes",(F118+G118+H118+I118)&lt;=10),"Yes","No")</f>
        <v>No</v>
      </c>
      <c r="N118" s="13" t="str">
        <f aca="false">IF(K118&gt;30,"Yes","No")</f>
        <v>No</v>
      </c>
      <c r="O118" s="14" t="n">
        <f aca="false">IF(AND(L118="Yes",'Invoice Sample'!O118="No",M118="Yes"),C118*0.02,0)</f>
        <v>0</v>
      </c>
      <c r="P118" s="14" t="n">
        <f aca="false">IF(AND('Invoice Sample'!P118="Yes",N118="No"),C118*0.015,0)</f>
        <v>0</v>
      </c>
    </row>
    <row r="119" customFormat="false" ht="15" hidden="false" customHeight="false" outlineLevel="0" collapsed="false">
      <c r="A119" s="19" t="str">
        <f aca="false">'Invoice Sample'!A119</f>
        <v>INV-2148</v>
      </c>
      <c r="B119" s="19" t="str">
        <f aca="false">'Invoice Sample'!C119</f>
        <v>One-off</v>
      </c>
      <c r="C119" s="32" t="n">
        <f aca="false">'Invoice Sample'!E119</f>
        <v>4457.91</v>
      </c>
      <c r="D119" s="19" t="str">
        <f aca="false">'Invoice Sample'!M119</f>
        <v>Tier 1 ($500-$10K)</v>
      </c>
      <c r="E119" s="19" t="str">
        <f aca="false">'Invoice Sample'!F119</f>
        <v>2/10 Net 30</v>
      </c>
      <c r="F119" s="31" t="n">
        <f aca="false">IF(B119="Recurring",'Future-State Model'!E22,'Future-State Model'!E23)</f>
        <v>1.57352941176471</v>
      </c>
      <c r="G119" s="31" t="n">
        <f aca="false">'Future-State Model'!E24</f>
        <v>2.4157</v>
      </c>
      <c r="H119" s="13" t="n">
        <f aca="false">IF(OR(D119="Tier 2 ($10K-$50K)",D119="Tier 3 (&gt;$50K)"),'Future-State Model'!E25,0)</f>
        <v>0</v>
      </c>
      <c r="I119" s="13" t="n">
        <f aca="false">IF(D119="Tier 3 (&gt;$50K)",'Future-State Model'!E26,0)</f>
        <v>0</v>
      </c>
      <c r="J119" s="31" t="n">
        <f aca="false">'Future-State Model'!E27</f>
        <v>0.686</v>
      </c>
      <c r="K119" s="12" t="n">
        <f aca="false">SUM(F119:J119)</f>
        <v>4.67522941176471</v>
      </c>
      <c r="L119" s="13" t="str">
        <f aca="false">IF(E119="2/10 Net 30","Yes","No")</f>
        <v>Yes</v>
      </c>
      <c r="M119" s="13" t="str">
        <f aca="false">IF(AND(L119="Yes",(F119+G119+H119+I119)&lt;=10),"Yes","No")</f>
        <v>Yes</v>
      </c>
      <c r="N119" s="13" t="str">
        <f aca="false">IF(K119&gt;30,"Yes","No")</f>
        <v>No</v>
      </c>
      <c r="O119" s="14" t="n">
        <f aca="false">IF(AND(L119="Yes",'Invoice Sample'!O119="No",M119="Yes"),C119*0.02,0)</f>
        <v>89.1582</v>
      </c>
      <c r="P119" s="14" t="n">
        <f aca="false">IF(AND('Invoice Sample'!P119="Yes",N119="No"),C119*0.015,0)</f>
        <v>0</v>
      </c>
    </row>
    <row r="120" customFormat="false" ht="15" hidden="false" customHeight="false" outlineLevel="0" collapsed="false">
      <c r="A120" s="19" t="str">
        <f aca="false">'Invoice Sample'!A120</f>
        <v>INV-2149</v>
      </c>
      <c r="B120" s="19" t="str">
        <f aca="false">'Invoice Sample'!C120</f>
        <v>One-off</v>
      </c>
      <c r="C120" s="32" t="n">
        <f aca="false">'Invoice Sample'!E120</f>
        <v>1958.34</v>
      </c>
      <c r="D120" s="19" t="str">
        <f aca="false">'Invoice Sample'!M120</f>
        <v>Tier 1 ($500-$10K)</v>
      </c>
      <c r="E120" s="19" t="str">
        <f aca="false">'Invoice Sample'!F120</f>
        <v>Net 30</v>
      </c>
      <c r="F120" s="31" t="n">
        <f aca="false">IF(B120="Recurring",'Future-State Model'!E22,'Future-State Model'!E23)</f>
        <v>1.57352941176471</v>
      </c>
      <c r="G120" s="31" t="n">
        <f aca="false">'Future-State Model'!E24</f>
        <v>2.4157</v>
      </c>
      <c r="H120" s="13" t="n">
        <f aca="false">IF(OR(D120="Tier 2 ($10K-$50K)",D120="Tier 3 (&gt;$50K)"),'Future-State Model'!E25,0)</f>
        <v>0</v>
      </c>
      <c r="I120" s="13" t="n">
        <f aca="false">IF(D120="Tier 3 (&gt;$50K)",'Future-State Model'!E26,0)</f>
        <v>0</v>
      </c>
      <c r="J120" s="31" t="n">
        <f aca="false">'Future-State Model'!E27</f>
        <v>0.686</v>
      </c>
      <c r="K120" s="12" t="n">
        <f aca="false">SUM(F120:J120)</f>
        <v>4.67522941176471</v>
      </c>
      <c r="L120" s="13" t="str">
        <f aca="false">IF(E120="2/10 Net 30","Yes","No")</f>
        <v>No</v>
      </c>
      <c r="M120" s="13" t="str">
        <f aca="false">IF(AND(L120="Yes",(F120+G120+H120+I120)&lt;=10),"Yes","No")</f>
        <v>No</v>
      </c>
      <c r="N120" s="13" t="str">
        <f aca="false">IF(K120&gt;30,"Yes","No")</f>
        <v>No</v>
      </c>
      <c r="O120" s="14" t="n">
        <f aca="false">IF(AND(L120="Yes",'Invoice Sample'!O120="No",M120="Yes"),C120*0.02,0)</f>
        <v>0</v>
      </c>
      <c r="P120" s="14" t="n">
        <f aca="false">IF(AND('Invoice Sample'!P120="Yes",N120="No"),C120*0.015,0)</f>
        <v>0</v>
      </c>
    </row>
    <row r="121" customFormat="false" ht="15" hidden="false" customHeight="false" outlineLevel="0" collapsed="false">
      <c r="A121" s="19" t="str">
        <f aca="false">'Invoice Sample'!A121</f>
        <v>INV-2150</v>
      </c>
      <c r="B121" s="19" t="str">
        <f aca="false">'Invoice Sample'!C121</f>
        <v>Recurring</v>
      </c>
      <c r="C121" s="32" t="n">
        <f aca="false">'Invoice Sample'!E121</f>
        <v>8318.89</v>
      </c>
      <c r="D121" s="19" t="str">
        <f aca="false">'Invoice Sample'!M121</f>
        <v>Tier 1 ($500-$10K)</v>
      </c>
      <c r="E121" s="19" t="str">
        <f aca="false">'Invoice Sample'!F121</f>
        <v>2/10 Net 30</v>
      </c>
      <c r="F121" s="31" t="n">
        <f aca="false">IF(B121="Recurring",'Future-State Model'!E22,'Future-State Model'!E23)</f>
        <v>0.237441860465116</v>
      </c>
      <c r="G121" s="31" t="n">
        <f aca="false">'Future-State Model'!E24</f>
        <v>2.4157</v>
      </c>
      <c r="H121" s="13" t="n">
        <f aca="false">IF(OR(D121="Tier 2 ($10K-$50K)",D121="Tier 3 (&gt;$50K)"),'Future-State Model'!E25,0)</f>
        <v>0</v>
      </c>
      <c r="I121" s="13" t="n">
        <f aca="false">IF(D121="Tier 3 (&gt;$50K)",'Future-State Model'!E26,0)</f>
        <v>0</v>
      </c>
      <c r="J121" s="31" t="n">
        <f aca="false">'Future-State Model'!E27</f>
        <v>0.686</v>
      </c>
      <c r="K121" s="12" t="n">
        <f aca="false">SUM(F121:J121)</f>
        <v>3.33914186046512</v>
      </c>
      <c r="L121" s="13" t="str">
        <f aca="false">IF(E121="2/10 Net 30","Yes","No")</f>
        <v>Yes</v>
      </c>
      <c r="M121" s="13" t="str">
        <f aca="false">IF(AND(L121="Yes",(F121+G121+H121+I121)&lt;=10),"Yes","No")</f>
        <v>Yes</v>
      </c>
      <c r="N121" s="13" t="str">
        <f aca="false">IF(K121&gt;30,"Yes","No")</f>
        <v>No</v>
      </c>
      <c r="O121" s="14" t="n">
        <f aca="false">IF(AND(L121="Yes",'Invoice Sample'!O121="No",M121="Yes"),C121*0.02,0)</f>
        <v>0</v>
      </c>
      <c r="P121" s="14" t="n">
        <f aca="false">IF(AND('Invoice Sample'!P121="Yes",N121="No"),C121*0.015,0)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3"/>
    <col collapsed="false" customWidth="true" hidden="false" outlineLevel="0" max="5" min="5" style="0" width="16"/>
  </cols>
  <sheetData>
    <row r="2" customFormat="false" ht="17.35" hidden="false" customHeight="false" outlineLevel="0" collapsed="false">
      <c r="B2" s="15" t="s">
        <v>244</v>
      </c>
      <c r="C2" s="15"/>
      <c r="D2" s="15"/>
      <c r="E2" s="15"/>
      <c r="F2" s="15"/>
    </row>
    <row r="4" customFormat="false" ht="15" hidden="false" customHeight="false" outlineLevel="0" collapsed="false">
      <c r="B4" s="3" t="s">
        <v>245</v>
      </c>
    </row>
    <row r="5" customFormat="false" ht="15" hidden="false" customHeight="false" outlineLevel="0" collapsed="false">
      <c r="B5" s="18" t="s">
        <v>246</v>
      </c>
      <c r="E5" s="22" t="n">
        <f aca="false">AVERAGE('Invoice Sample'!L2:L121)</f>
        <v>12.835</v>
      </c>
    </row>
    <row r="6" customFormat="false" ht="15" hidden="false" customHeight="false" outlineLevel="0" collapsed="false">
      <c r="B6" s="18" t="s">
        <v>247</v>
      </c>
      <c r="E6" s="22" t="n">
        <f aca="false">AVERAGE('Future-State Projection'!K2:K121)</f>
        <v>4.33509730639731</v>
      </c>
    </row>
    <row r="7" customFormat="false" ht="15" hidden="false" customHeight="false" outlineLevel="0" collapsed="false">
      <c r="B7" s="33" t="s">
        <v>227</v>
      </c>
      <c r="E7" s="34" t="n">
        <f aca="false">(E5-E6)/E5</f>
        <v>0.662244074297055</v>
      </c>
    </row>
    <row r="9" customFormat="false" ht="15" hidden="false" customHeight="false" outlineLevel="0" collapsed="false">
      <c r="B9" s="33" t="s">
        <v>248</v>
      </c>
    </row>
    <row r="10" customFormat="false" ht="15" hidden="false" customHeight="false" outlineLevel="0" collapsed="false">
      <c r="B10" s="18" t="s">
        <v>249</v>
      </c>
      <c r="F10" s="35" t="n">
        <v>12</v>
      </c>
    </row>
    <row r="11" customFormat="false" ht="15" hidden="false" customHeight="false" outlineLevel="0" collapsed="false">
      <c r="B11" s="18" t="s">
        <v>250</v>
      </c>
      <c r="E11" s="21" t="n">
        <f aca="false">SUM('Future-State Projection'!O2:O121)*F10</f>
        <v>124814.856</v>
      </c>
    </row>
    <row r="12" customFormat="false" ht="15" hidden="false" customHeight="false" outlineLevel="0" collapsed="false">
      <c r="B12" s="18" t="s">
        <v>251</v>
      </c>
      <c r="E12" s="21" t="n">
        <f aca="false">SUM('Future-State Projection'!P2:P121)*F10</f>
        <v>0</v>
      </c>
    </row>
    <row r="13" customFormat="false" ht="15" hidden="false" customHeight="false" outlineLevel="0" collapsed="false">
      <c r="B13" s="33" t="s">
        <v>252</v>
      </c>
      <c r="E13" s="36" t="n">
        <f aca="false">E11+E12</f>
        <v>124814.856</v>
      </c>
    </row>
    <row r="15" customFormat="false" ht="15" hidden="false" customHeight="false" outlineLevel="0" collapsed="false">
      <c r="B15" s="33" t="s">
        <v>253</v>
      </c>
    </row>
    <row r="16" customFormat="false" ht="15" hidden="false" customHeight="false" outlineLevel="0" collapsed="false">
      <c r="B16" s="18" t="s">
        <v>254</v>
      </c>
      <c r="E16" s="21" t="n">
        <f aca="false">'Future-State Model'!F16</f>
        <v>18000</v>
      </c>
    </row>
    <row r="17" customFormat="false" ht="15" hidden="false" customHeight="false" outlineLevel="0" collapsed="false">
      <c r="B17" s="18" t="s">
        <v>255</v>
      </c>
      <c r="E17" s="21" t="n">
        <f aca="false">'Future-State Model'!F17</f>
        <v>9600</v>
      </c>
    </row>
    <row r="18" customFormat="false" ht="15" hidden="false" customHeight="false" outlineLevel="0" collapsed="false">
      <c r="B18" s="18" t="s">
        <v>256</v>
      </c>
      <c r="E18" s="21" t="n">
        <f aca="false">'Future-State Model'!F18</f>
        <v>22000</v>
      </c>
    </row>
    <row r="19" customFormat="false" ht="15" hidden="false" customHeight="false" outlineLevel="0" collapsed="false">
      <c r="B19" s="33" t="s">
        <v>257</v>
      </c>
      <c r="E19" s="36" t="n">
        <f aca="false">E16+E17+E18</f>
        <v>49600</v>
      </c>
    </row>
    <row r="21" customFormat="false" ht="15" hidden="false" customHeight="false" outlineLevel="0" collapsed="false">
      <c r="B21" s="33" t="s">
        <v>258</v>
      </c>
      <c r="E21" s="36" t="n">
        <f aca="false">E13-E19</f>
        <v>75214.856</v>
      </c>
    </row>
    <row r="22" customFormat="false" ht="15" hidden="false" customHeight="false" outlineLevel="0" collapsed="false">
      <c r="B22" s="33" t="s">
        <v>259</v>
      </c>
      <c r="E22" s="36" t="n">
        <f aca="false">E13-E16-E17</f>
        <v>97214.856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2026-09-03T15:04:07Z</dcterms:created>
  <dc:creator>openpyxl</dc:creator>
  <dc:description/>
  <dc:language>en-US</dc:language>
  <cp:lastModifiedBy/>
  <dcterms:modified xsi:type="dcterms:W3CDTF">2026-09-03T15:04:07Z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