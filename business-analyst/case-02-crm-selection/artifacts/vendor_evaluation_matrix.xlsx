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CO Detail" sheetId="2" state="visible" r:id="rId4"/>
    <sheet name="Scor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<sst xmlns="http://schemas.openxmlformats.org/spreadsheetml/2006/main" count="43" uniqueCount="40">
  <si>
    <t xml:space="preserve">Case 02 — CRM Vendor Evaluation Matrix</t>
  </si>
  <si>
    <t xml:space="preserve">Supports the Business Requirements Document. Three vendors scored against weighted criteria drawn directly from the requirements-gathering interviews. Vendor names are fictional — this is a simulated evaluation for a portfolio case study, not a real product comparison.</t>
  </si>
  <si>
    <t xml:space="preserve">Color legend</t>
  </si>
  <si>
    <t xml:space="preserve">Blue text</t>
  </si>
  <si>
    <t xml:space="preserve">Hardcoded input — interview-informed score or a quoted vendor price</t>
  </si>
  <si>
    <t xml:space="preserve">Yellow fill</t>
  </si>
  <si>
    <t xml:space="preserve">Key assumption</t>
  </si>
  <si>
    <t xml:space="preserve">Black text</t>
  </si>
  <si>
    <t xml:space="preserve">Formula</t>
  </si>
  <si>
    <t xml:space="preserve">Green text</t>
  </si>
  <si>
    <t xml:space="preserve">Link from another sheet</t>
  </si>
  <si>
    <t xml:space="preserve">3-Year Total Cost of Ownership</t>
  </si>
  <si>
    <t xml:space="preserve">Seat count</t>
  </si>
  <si>
    <t xml:space="preserve">Contract term (months)</t>
  </si>
  <si>
    <t xml:space="preserve">Vendor</t>
  </si>
  <si>
    <t xml:space="preserve">$/seat/month</t>
  </si>
  <si>
    <t xml:space="preserve">Implementation (one-time)</t>
  </si>
  <si>
    <t xml:space="preserve">Data migration (one-time)</t>
  </si>
  <si>
    <t xml:space="preserve">License cost (3yr)</t>
  </si>
  <si>
    <t xml:space="preserve">3-Year TCO</t>
  </si>
  <si>
    <t xml:space="preserve">Pinnacle Sales Cloud</t>
  </si>
  <si>
    <t xml:space="preserve">Northstar CRM</t>
  </si>
  <si>
    <t xml:space="preserve">Vertex Sales Suite</t>
  </si>
  <si>
    <t xml:space="preserve">Lowest 3-yr TCO</t>
  </si>
  <si>
    <t xml:space="preserve">Highest 3-yr TCO</t>
  </si>
  <si>
    <t xml:space="preserve">Weighted Vendor Scoring</t>
  </si>
  <si>
    <t xml:space="preserve">Each criterion scored 1 (poor) to 5 (excellent) by the evaluation panel (Sales Ops, IT, two Sales Managers) during vendor demos, except Total Cost of Ownership, which is derived automatically from the TCO Detail sheet — cheapest option scores 5, most expensive scores 1, scaled linearly between.</t>
  </si>
  <si>
    <t xml:space="preserve">Criterion</t>
  </si>
  <si>
    <t xml:space="preserve">Weight</t>
  </si>
  <si>
    <t xml:space="preserve">Pipeline &amp; opportunity management</t>
  </si>
  <si>
    <t xml:space="preserve">Reporting &amp; forecasting</t>
  </si>
  <si>
    <t xml:space="preserve">Mobile usability</t>
  </si>
  <si>
    <t xml:space="preserve">Integration (ERP, email/calendar, marketing)</t>
  </si>
  <si>
    <t xml:space="preserve">Data migration &amp; onboarding effort (ease)</t>
  </si>
  <si>
    <t xml:space="preserve">Vendor support &amp; SLA</t>
  </si>
  <si>
    <t xml:space="preserve">Total cost of ownership (3-yr, lower is better)</t>
  </si>
  <si>
    <t xml:space="preserve">Weight check (should be 100%)</t>
  </si>
  <si>
    <t xml:space="preserve">Weighted total</t>
  </si>
  <si>
    <t xml:space="preserve">Rank</t>
  </si>
  <si>
    <t xml:space="preserve">Recommended vendor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</si>
</sst>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%"/>
    <numFmt numFmtId="167" formatCode="0.00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4603B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603B"/>
        <bgColor rgb="FF666699"/>
      </patternFill>
    </fill>
    <fill>
      <patternFill patternType="solid">
        <fgColor rgb="FFE4EBE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2C0"/>
      </left>
      <right style="thin">
        <color rgb="FFB9C2C0"/>
      </right>
      <top style="thin">
        <color rgb="FFB9C2C0"/>
      </top>
      <bottom style="thin">
        <color rgb="FFB9C2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2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B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60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70"/>
  </cols>
  <sheetData>
    <row r="2" customFormat="false" ht="17.35" hidden="false" customHeight="false" outlineLevel="0" collapsed="false">
      <c r="B2" s="1" t="s">
        <v>0</v>
      </c>
    </row>
    <row r="4" customFormat="false" ht="48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  <c r="C7" s="5" t="s">
        <v>4</v>
      </c>
    </row>
    <row r="8" customFormat="false" ht="15" hidden="false" customHeight="false" outlineLevel="0" collapsed="false">
      <c r="B8" s="6" t="s">
        <v>5</v>
      </c>
      <c r="C8" s="5" t="s">
        <v>6</v>
      </c>
    </row>
    <row r="9" customFormat="false" ht="15" hidden="false" customHeight="false" outlineLevel="0" collapsed="false">
      <c r="B9" s="7" t="s">
        <v>7</v>
      </c>
      <c r="C9" s="5" t="s">
        <v>8</v>
      </c>
    </row>
    <row r="10" customFormat="false" ht="15" hidden="false" customHeight="false" outlineLevel="0" collapsed="false">
      <c r="B10" s="8" t="s">
        <v>9</v>
      </c>
      <c r="C10" s="5" t="s">
        <v>10</v>
      </c>
    </row>
  </sheetData>
  <mergeCells count="1"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7" min="6" style="0" width="16"/>
  </cols>
  <sheetData>
    <row r="2" customFormat="false" ht="17.35" hidden="false" customHeight="false" outlineLevel="0" collapsed="false">
      <c r="B2" s="9" t="s">
        <v>11</v>
      </c>
      <c r="C2" s="9"/>
      <c r="D2" s="9"/>
      <c r="E2" s="9"/>
      <c r="F2" s="9"/>
    </row>
    <row r="4" customFormat="false" ht="15" hidden="false" customHeight="false" outlineLevel="0" collapsed="false">
      <c r="B4" s="0" t="s">
        <v>12</v>
      </c>
      <c r="E4" s="10" t="n">
        <v>40</v>
      </c>
    </row>
    <row r="5" customFormat="false" ht="15" hidden="false" customHeight="false" outlineLevel="0" collapsed="false">
      <c r="B5" s="0" t="s">
        <v>13</v>
      </c>
      <c r="E5" s="10" t="n">
        <v>36</v>
      </c>
    </row>
    <row r="7" customFormat="false" ht="23.85" hidden="false" customHeight="false" outlineLevel="0" collapsed="false"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1" t="s">
        <v>19</v>
      </c>
    </row>
    <row r="8" customFormat="false" ht="15" hidden="false" customHeight="false" outlineLevel="0" collapsed="false">
      <c r="B8" s="12" t="s">
        <v>20</v>
      </c>
      <c r="C8" s="13" t="n">
        <v>145</v>
      </c>
      <c r="D8" s="13" t="n">
        <v>65000</v>
      </c>
      <c r="E8" s="13" t="n">
        <v>15000</v>
      </c>
      <c r="F8" s="14" t="n">
        <f aca="false">C8*$E$4*$E$5</f>
        <v>208800</v>
      </c>
      <c r="G8" s="15" t="n">
        <f aca="false">F8+D8+E8</f>
        <v>288800</v>
      </c>
    </row>
    <row r="9" customFormat="false" ht="15" hidden="false" customHeight="false" outlineLevel="0" collapsed="false">
      <c r="B9" s="12" t="s">
        <v>21</v>
      </c>
      <c r="C9" s="13" t="n">
        <v>99</v>
      </c>
      <c r="D9" s="13" t="n">
        <v>42000</v>
      </c>
      <c r="E9" s="13" t="n">
        <v>22000</v>
      </c>
      <c r="F9" s="14" t="n">
        <f aca="false">C9*$E$4*$E$5</f>
        <v>142560</v>
      </c>
      <c r="G9" s="15" t="n">
        <f aca="false">F9+D9+E9</f>
        <v>206560</v>
      </c>
    </row>
    <row r="10" customFormat="false" ht="15" hidden="false" customHeight="false" outlineLevel="0" collapsed="false">
      <c r="B10" s="12" t="s">
        <v>22</v>
      </c>
      <c r="C10" s="13" t="n">
        <v>120</v>
      </c>
      <c r="D10" s="13" t="n">
        <v>38000</v>
      </c>
      <c r="E10" s="13" t="n">
        <v>9000</v>
      </c>
      <c r="F10" s="14" t="n">
        <f aca="false">C10*$E$4*$E$5</f>
        <v>172800</v>
      </c>
      <c r="G10" s="15" t="n">
        <f aca="false">F10+D10+E10</f>
        <v>219800</v>
      </c>
    </row>
    <row r="12" customFormat="false" ht="15" hidden="false" customHeight="false" outlineLevel="0" collapsed="false">
      <c r="B12" s="3" t="s">
        <v>23</v>
      </c>
      <c r="G12" s="16" t="n">
        <f aca="false">MIN(G8:G10)</f>
        <v>206560</v>
      </c>
    </row>
    <row r="13" customFormat="false" ht="15" hidden="false" customHeight="false" outlineLevel="0" collapsed="false">
      <c r="B13" s="3" t="s">
        <v>24</v>
      </c>
      <c r="G13" s="16" t="n">
        <f aca="false">MAX(G8:G10)</f>
        <v>288800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6" min="4" style="0" width="22"/>
  </cols>
  <sheetData>
    <row r="2" customFormat="false" ht="17.35" hidden="false" customHeight="false" outlineLevel="0" collapsed="false">
      <c r="B2" s="9" t="s">
        <v>25</v>
      </c>
      <c r="C2" s="9"/>
      <c r="D2" s="9"/>
      <c r="E2" s="9"/>
      <c r="F2" s="9"/>
      <c r="G2" s="9"/>
      <c r="H2" s="9"/>
    </row>
    <row r="4" customFormat="false" ht="33.75" hidden="false" customHeight="true" outlineLevel="0" collapsed="false">
      <c r="B4" s="2" t="s">
        <v>26</v>
      </c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B6" s="11" t="s">
        <v>27</v>
      </c>
      <c r="C6" s="11" t="s">
        <v>28</v>
      </c>
      <c r="D6" s="11" t="s">
        <v>20</v>
      </c>
      <c r="E6" s="11" t="s">
        <v>21</v>
      </c>
      <c r="F6" s="11" t="s">
        <v>22</v>
      </c>
    </row>
    <row r="7" customFormat="false" ht="15" hidden="false" customHeight="false" outlineLevel="0" collapsed="false">
      <c r="B7" s="17" t="s">
        <v>29</v>
      </c>
      <c r="C7" s="18" t="n">
        <v>0.2</v>
      </c>
      <c r="D7" s="19" t="n">
        <v>4</v>
      </c>
      <c r="E7" s="19" t="n">
        <v>5</v>
      </c>
      <c r="F7" s="19" t="n">
        <v>3</v>
      </c>
    </row>
    <row r="8" customFormat="false" ht="15" hidden="false" customHeight="false" outlineLevel="0" collapsed="false">
      <c r="B8" s="17" t="s">
        <v>30</v>
      </c>
      <c r="C8" s="18" t="n">
        <v>0.18</v>
      </c>
      <c r="D8" s="19" t="n">
        <v>5</v>
      </c>
      <c r="E8" s="19" t="n">
        <v>4</v>
      </c>
      <c r="F8" s="19" t="n">
        <v>3</v>
      </c>
    </row>
    <row r="9" customFormat="false" ht="15" hidden="false" customHeight="false" outlineLevel="0" collapsed="false">
      <c r="B9" s="17" t="s">
        <v>31</v>
      </c>
      <c r="C9" s="18" t="n">
        <v>0.15</v>
      </c>
      <c r="D9" s="19" t="n">
        <v>3</v>
      </c>
      <c r="E9" s="19" t="n">
        <v>5</v>
      </c>
      <c r="F9" s="19" t="n">
        <v>4</v>
      </c>
    </row>
    <row r="10" customFormat="false" ht="15" hidden="false" customHeight="false" outlineLevel="0" collapsed="false">
      <c r="B10" s="17" t="s">
        <v>32</v>
      </c>
      <c r="C10" s="18" t="n">
        <v>0.15</v>
      </c>
      <c r="D10" s="19" t="n">
        <v>4</v>
      </c>
      <c r="E10" s="19" t="n">
        <v>3</v>
      </c>
      <c r="F10" s="19" t="n">
        <v>5</v>
      </c>
    </row>
    <row r="11" customFormat="false" ht="15" hidden="false" customHeight="false" outlineLevel="0" collapsed="false">
      <c r="B11" s="17" t="s">
        <v>33</v>
      </c>
      <c r="C11" s="18" t="n">
        <v>0.1</v>
      </c>
      <c r="D11" s="19" t="n">
        <v>3</v>
      </c>
      <c r="E11" s="19" t="n">
        <v>4</v>
      </c>
      <c r="F11" s="19" t="n">
        <v>5</v>
      </c>
    </row>
    <row r="12" customFormat="false" ht="15" hidden="false" customHeight="false" outlineLevel="0" collapsed="false">
      <c r="B12" s="17" t="s">
        <v>34</v>
      </c>
      <c r="C12" s="18" t="n">
        <v>0.1</v>
      </c>
      <c r="D12" s="19" t="n">
        <v>4</v>
      </c>
      <c r="E12" s="19" t="n">
        <v>3</v>
      </c>
      <c r="F12" s="19" t="n">
        <v>5</v>
      </c>
    </row>
    <row r="13" customFormat="false" ht="15" hidden="false" customHeight="false" outlineLevel="0" collapsed="false">
      <c r="B13" s="17" t="s">
        <v>35</v>
      </c>
      <c r="C13" s="18" t="n">
        <v>0.12</v>
      </c>
      <c r="D13" s="20" t="n">
        <f aca="false">5-(('TCO Detail'!G8-'TCO Detail'!G12)/('TCO Detail'!G13-'TCO Detail'!G12))*4</f>
        <v>1</v>
      </c>
      <c r="E13" s="20" t="n">
        <f aca="false">5-(('TCO Detail'!G9-'TCO Detail'!G12)/('TCO Detail'!G13-'TCO Detail'!G12))*4</f>
        <v>5</v>
      </c>
      <c r="F13" s="20" t="n">
        <f aca="false">5-(('TCO Detail'!G10-'TCO Detail'!G12)/('TCO Detail'!G13-'TCO Detail'!G12))*4</f>
        <v>4.35603112840467</v>
      </c>
    </row>
    <row r="14" customFormat="false" ht="15" hidden="false" customHeight="false" outlineLevel="0" collapsed="false">
      <c r="B14" s="3" t="s">
        <v>36</v>
      </c>
      <c r="C14" s="21" t="n">
        <f aca="false">SUM(C7:C13)</f>
        <v>1</v>
      </c>
    </row>
    <row r="16" customFormat="false" ht="15" hidden="false" customHeight="false" outlineLevel="0" collapsed="false">
      <c r="B16" s="22" t="s">
        <v>37</v>
      </c>
      <c r="C16" s="17"/>
      <c r="D16" s="23" t="n">
        <f aca="false">D7*$C7+D8*$C8+D9*$C9+D10*$C10+D11*$C11+D12*$C12+D13*$C13</f>
        <v>3.57</v>
      </c>
      <c r="E16" s="23" t="n">
        <f aca="false">E7*$C7+E8*$C8+E9*$C9+E10*$C10+E11*$C11+E12*$C12+E13*$C13</f>
        <v>4.22</v>
      </c>
      <c r="F16" s="23" t="n">
        <f aca="false">F7*$C7+F8*$C8+F9*$C9+F10*$C10+F11*$C11+F12*$C12+F13*$C13</f>
        <v>4.01272373540856</v>
      </c>
    </row>
    <row r="17" customFormat="false" ht="15" hidden="false" customHeight="false" outlineLevel="0" collapsed="false">
      <c r="B17" s="3" t="s">
        <v>38</v>
      </c>
      <c r="D17" s="24" t="n">
        <f aca="false">RANK(D16,D16:F16)</f>
        <v>3</v>
      </c>
      <c r="E17" s="24" t="n">
        <f aca="false">RANK(E16,D16:F16)</f>
        <v>1</v>
      </c>
      <c r="F17" s="24" t="n">
        <f aca="false">RANK(F16,D16:F16)</f>
        <v>2</v>
      </c>
    </row>
    <row r="19" customFormat="false" ht="15" hidden="false" customHeight="false" outlineLevel="0" collapsed="false">
      <c r="B19" s="3" t="s">
        <v>39</v>
      </c>
      <c r="D19" s="25" t="str">
        <f aca="false">INDEX(D6:F6,MATCH(1,D17:F17,0))</f>
        <v>Northstar CRM</v>
      </c>
      <c r="E19" s="25"/>
      <c r="F19" s="25"/>
    </row>
  </sheetData>
  <mergeCells count="3">
    <mergeCell ref="B2:H2"/>
    <mergeCell ref="B4:H4"/>
    <mergeCell ref="D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2026-09-03T15:09:06Z</dcterms:created>
  <dc:creator>openpyxl</dc:creator>
  <dc:description/>
  <dc:language>en-US</dc:language>
  <cp:lastModifiedBy/>
  <dcterms:modified xsi:type="dcterms:W3CDTF">2026-09-03T15:09:06Z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