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ssumptions" sheetId="2" state="visible" r:id="rId4"/>
    <sheet name="Option B - Hire" sheetId="3" state="visible" r:id="rId5"/>
    <sheet name="Option C - Automate" sheetId="4" state="visible" r:id="rId6"/>
    <sheet name="NPV &amp; Payback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<sst xmlns="http://schemas.openxmlformats.org/spreadsheetml/2006/main" count="82" uniqueCount="71">
  <si>
    <t xml:space="preserve">Case 04 — Order-Entry Automation: Cost-Benefit Analysis</t>
  </si>
  <si>
    <t xml:space="preserve">Supports the Business Case. Brightpath Distribution's inbound sales-order entry team manually keys orders from fax, email PDF, and an EDI portal into the ERP. Order volume is growing 15%/year. This workbook compares two ways to keep pace over 3 years: keep hiring at current productivity (Option B), or invest in OCR/RPA automation (Option C).</t>
  </si>
  <si>
    <t xml:space="preserve">Color legend</t>
  </si>
  <si>
    <t xml:space="preserve">Blue text</t>
  </si>
  <si>
    <t xml:space="preserve">Hardcoded input / assumption</t>
  </si>
  <si>
    <t xml:space="preserve">Yellow fill</t>
  </si>
  <si>
    <t xml:space="preserve">Key assumption</t>
  </si>
  <si>
    <t xml:space="preserve">Black text</t>
  </si>
  <si>
    <t xml:space="preserve">Formula</t>
  </si>
  <si>
    <t xml:space="preserve">Green text</t>
  </si>
  <si>
    <t xml:space="preserve">Link from another sheet</t>
  </si>
  <si>
    <t xml:space="preserve">Assumptions</t>
  </si>
  <si>
    <t xml:space="preserve">Current annual order volume</t>
  </si>
  <si>
    <t xml:space="preserve">Volume growth rate / year</t>
  </si>
  <si>
    <t xml:space="preserve">Current headcount (data-entry clerks)</t>
  </si>
  <si>
    <t xml:space="preserve">Orders processed / clerk / year (manual)</t>
  </si>
  <si>
    <t xml:space="preserve">Fully loaded cost / clerk / year</t>
  </si>
  <si>
    <t xml:space="preserve">One-time hiring &amp; onboarding cost / new hire</t>
  </si>
  <si>
    <t xml:space="preserve">Manual order error rate (needs correction/rework)</t>
  </si>
  <si>
    <t xml:space="preserve">Automated (OCR-validated) order error rate</t>
  </si>
  <si>
    <t xml:space="preserve">Average cost per order error (rework, reship, CS time)</t>
  </si>
  <si>
    <t xml:space="preserve">RPA/OCR platform subscription / year</t>
  </si>
  <si>
    <t xml:space="preserve">One-time implementation cost (Year 1 only)</t>
  </si>
  <si>
    <t xml:space="preserve">Ongoing template/maintenance cost / year</t>
  </si>
  <si>
    <t xml:space="preserve">Automation adoption — Year 1 (% of volume auto-processed)</t>
  </si>
  <si>
    <t xml:space="preserve">Automation adoption — Year 2</t>
  </si>
  <si>
    <t xml:space="preserve">Automation adoption — Year 3</t>
  </si>
  <si>
    <t xml:space="preserve">Discount rate (WACC)</t>
  </si>
  <si>
    <t xml:space="preserve">Option B — Hire to Keep Pace</t>
  </si>
  <si>
    <t xml:space="preserve">Year</t>
  </si>
  <si>
    <t xml:space="preserve">Order volume</t>
  </si>
  <si>
    <t xml:space="preserve">Headcount needed</t>
  </si>
  <si>
    <t xml:space="preserve">New hires</t>
  </si>
  <si>
    <t xml:space="preserve">Labor cost</t>
  </si>
  <si>
    <t xml:space="preserve">Hiring cost</t>
  </si>
  <si>
    <t xml:space="preserve">Total cost</t>
  </si>
  <si>
    <t xml:space="preserve">3-year total</t>
  </si>
  <si>
    <t xml:space="preserve">Option C — Invest in OCR/RPA Automation</t>
  </si>
  <si>
    <t xml:space="preserve">Auto-processed</t>
  </si>
  <si>
    <t xml:space="preserve">Manual</t>
  </si>
  <si>
    <t xml:space="preserve">Headcount
(floor: no layoffs)</t>
  </si>
  <si>
    <t xml:space="preserve">Subscription</t>
  </si>
  <si>
    <t xml:space="preserve">Implementation</t>
  </si>
  <si>
    <t xml:space="preserve">Maintenance</t>
  </si>
  <si>
    <t xml:space="preserve">Error cost — Option C (auto share + manual share, blended rates)</t>
  </si>
  <si>
    <t xml:space="preserve">Auto-processed errors ($)</t>
  </si>
  <si>
    <t xml:space="preserve">Manual errors ($)</t>
  </si>
  <si>
    <t xml:space="preserve">Total error cost</t>
  </si>
  <si>
    <t xml:space="preserve">Net Benefit of Automating (Option C) vs. Hiring (Option B)</t>
  </si>
  <si>
    <t xml:space="preserve">Option B cost</t>
  </si>
  <si>
    <t xml:space="preserve">Option C cost</t>
  </si>
  <si>
    <t xml:space="preserve">Cost avoided (B-C)</t>
  </si>
  <si>
    <t xml:space="preserve">Error cost — Option B (all-manual baseline)</t>
  </si>
  <si>
    <t xml:space="preserve">Error cost — Option C</t>
  </si>
  <si>
    <t xml:space="preserve">Error cost avoided</t>
  </si>
  <si>
    <t xml:space="preserve">Net benefit</t>
  </si>
  <si>
    <t xml:space="preserve">3-year total net benefit</t>
  </si>
  <si>
    <t xml:space="preserve">Discounted cash flow (NPV)</t>
  </si>
  <si>
    <t xml:space="preserve">Discount factor</t>
  </si>
  <si>
    <t xml:space="preserve">Present value</t>
  </si>
  <si>
    <t xml:space="preserve">Cumulative PV</t>
  </si>
  <si>
    <t xml:space="preserve">3-year NPV @ discount rate</t>
  </si>
  <si>
    <t xml:space="preserve">Simple payback (undiscounted, using cumulative net benefit)</t>
  </si>
  <si>
    <t xml:space="preserve">Cumulative net benefit through Year 1</t>
  </si>
  <si>
    <t xml:space="preserve">Cumulative net benefit through Year 2</t>
  </si>
  <si>
    <t xml:space="preserve">Cumulative net benefit through Year 3</t>
  </si>
  <si>
    <t xml:space="preserve">Payback period (years)</t>
  </si>
  <si>
    <t xml:space="preserve">Summary</t>
  </si>
  <si>
    <t xml:space="preserve">Option B — 3-year total cost (hire to keep pace)</t>
  </si>
  <si>
    <t xml:space="preserve">Option C — 3-year total cost (automate)</t>
  </si>
  <si>
    <t xml:space="preserve">3-year net benefit of automating (cost + error-avoidance)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</si>
</sst>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%"/>
    <numFmt numFmtId="167" formatCode="\$#,##0"/>
    <numFmt numFmtId="168" formatCode="0.0%"/>
    <numFmt numFmtId="169" formatCode="General"/>
    <numFmt numFmtId="170" formatCode="0.000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603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603B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C0"/>
      </left>
      <right style="thin">
        <color rgb="FFB9C2C0"/>
      </right>
      <top style="thin">
        <color rgb="FFB9C2C0"/>
      </top>
      <bottom style="thin">
        <color rgb="FFB9C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2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6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74"/>
  </cols>
  <sheetData>
    <row r="2" customFormat="false" ht="17.35" hidden="false" customHeight="false" outlineLevel="0" collapsed="false">
      <c r="B2" s="1" t="s">
        <v>0</v>
      </c>
    </row>
    <row r="4" customFormat="false" ht="55.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5" t="s">
        <v>6</v>
      </c>
    </row>
    <row r="9" customFormat="false" ht="15" hidden="false" customHeight="false" outlineLevel="0" collapsed="false">
      <c r="B9" s="7" t="s">
        <v>7</v>
      </c>
      <c r="C9" s="5" t="s">
        <v>8</v>
      </c>
    </row>
    <row r="10" customFormat="false" ht="15" hidden="false" customHeight="false" outlineLevel="0" collapsed="false">
      <c r="B10" s="8" t="s">
        <v>9</v>
      </c>
      <c r="C10" s="5" t="s">
        <v>10</v>
      </c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5" min="3" style="0" width="3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" t="s">
        <v>11</v>
      </c>
    </row>
    <row r="4" customFormat="false" ht="15" hidden="false" customHeight="false" outlineLevel="0" collapsed="false">
      <c r="B4" s="0" t="s">
        <v>12</v>
      </c>
      <c r="F4" s="9" t="n">
        <v>66500</v>
      </c>
    </row>
    <row r="5" customFormat="false" ht="15" hidden="false" customHeight="false" outlineLevel="0" collapsed="false">
      <c r="B5" s="0" t="s">
        <v>13</v>
      </c>
      <c r="F5" s="10" t="n">
        <v>0.15</v>
      </c>
    </row>
    <row r="6" customFormat="false" ht="15" hidden="false" customHeight="false" outlineLevel="0" collapsed="false">
      <c r="B6" s="0" t="s">
        <v>14</v>
      </c>
      <c r="F6" s="9" t="n">
        <v>7</v>
      </c>
    </row>
    <row r="7" customFormat="false" ht="15" hidden="false" customHeight="false" outlineLevel="0" collapsed="false">
      <c r="B7" s="0" t="s">
        <v>15</v>
      </c>
      <c r="F7" s="9" t="n">
        <v>9500</v>
      </c>
    </row>
    <row r="8" customFormat="false" ht="15" hidden="false" customHeight="false" outlineLevel="0" collapsed="false">
      <c r="B8" s="0" t="s">
        <v>16</v>
      </c>
      <c r="F8" s="11" t="n">
        <v>52000</v>
      </c>
    </row>
    <row r="9" customFormat="false" ht="15" hidden="false" customHeight="false" outlineLevel="0" collapsed="false">
      <c r="B9" s="0" t="s">
        <v>17</v>
      </c>
      <c r="F9" s="11" t="n">
        <v>8000</v>
      </c>
    </row>
    <row r="10" customFormat="false" ht="15" hidden="false" customHeight="false" outlineLevel="0" collapsed="false">
      <c r="B10" s="0" t="s">
        <v>18</v>
      </c>
      <c r="F10" s="12" t="n">
        <v>0.025</v>
      </c>
    </row>
    <row r="11" customFormat="false" ht="15" hidden="false" customHeight="false" outlineLevel="0" collapsed="false">
      <c r="B11" s="0" t="s">
        <v>19</v>
      </c>
      <c r="F11" s="12" t="n">
        <v>0.006</v>
      </c>
    </row>
    <row r="12" customFormat="false" ht="15" hidden="false" customHeight="false" outlineLevel="0" collapsed="false">
      <c r="B12" s="0" t="s">
        <v>20</v>
      </c>
      <c r="F12" s="11" t="n">
        <v>35</v>
      </c>
    </row>
    <row r="13" customFormat="false" ht="15" hidden="false" customHeight="false" outlineLevel="0" collapsed="false">
      <c r="B13" s="0" t="s">
        <v>21</v>
      </c>
      <c r="F13" s="11" t="n">
        <v>85000</v>
      </c>
    </row>
    <row r="14" customFormat="false" ht="15" hidden="false" customHeight="false" outlineLevel="0" collapsed="false">
      <c r="B14" s="0" t="s">
        <v>22</v>
      </c>
      <c r="F14" s="11" t="n">
        <v>120000</v>
      </c>
    </row>
    <row r="15" customFormat="false" ht="15" hidden="false" customHeight="false" outlineLevel="0" collapsed="false">
      <c r="B15" s="0" t="s">
        <v>23</v>
      </c>
      <c r="F15" s="11" t="n">
        <v>15000</v>
      </c>
    </row>
    <row r="16" customFormat="false" ht="15" hidden="false" customHeight="false" outlineLevel="0" collapsed="false">
      <c r="B16" s="0" t="s">
        <v>24</v>
      </c>
      <c r="F16" s="10" t="n">
        <v>0.65</v>
      </c>
    </row>
    <row r="17" customFormat="false" ht="15" hidden="false" customHeight="false" outlineLevel="0" collapsed="false">
      <c r="B17" s="0" t="s">
        <v>25</v>
      </c>
      <c r="F17" s="10" t="n">
        <v>0.75</v>
      </c>
    </row>
    <row r="18" customFormat="false" ht="15" hidden="false" customHeight="false" outlineLevel="0" collapsed="false">
      <c r="B18" s="0" t="s">
        <v>26</v>
      </c>
      <c r="F18" s="10" t="n">
        <v>0.8</v>
      </c>
    </row>
    <row r="19" customFormat="false" ht="15" hidden="false" customHeight="false" outlineLevel="0" collapsed="false">
      <c r="B19" s="0" t="s">
        <v>27</v>
      </c>
      <c r="F19" s="10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2" customFormat="false" ht="17.35" hidden="false" customHeight="false" outlineLevel="0" collapsed="false">
      <c r="B2" s="13" t="s">
        <v>28</v>
      </c>
      <c r="C2" s="13"/>
      <c r="D2" s="13"/>
      <c r="E2" s="13"/>
      <c r="F2" s="13"/>
      <c r="G2" s="13"/>
      <c r="H2" s="13"/>
    </row>
    <row r="4" customFormat="false" ht="23.85" hidden="false" customHeight="false" outlineLevel="0" collapsed="false"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</row>
    <row r="5" customFormat="false" ht="15" hidden="false" customHeight="false" outlineLevel="0" collapsed="false">
      <c r="B5" s="15" t="n">
        <v>1</v>
      </c>
      <c r="C5" s="16" t="n">
        <f aca="false">Assumptions!$F$4*(1+Assumptions!$F$5)</f>
        <v>76475</v>
      </c>
      <c r="D5" s="17" t="n">
        <f aca="false">CEILING(C5/Assumptions!$F$7,1)</f>
        <v>9</v>
      </c>
      <c r="E5" s="17" t="n">
        <f aca="false">D5-Assumptions!$F$6</f>
        <v>2</v>
      </c>
      <c r="F5" s="18" t="n">
        <f aca="false">D5*Assumptions!$F$8</f>
        <v>468000</v>
      </c>
      <c r="G5" s="18" t="n">
        <f aca="false">E5*Assumptions!$F$9</f>
        <v>16000</v>
      </c>
      <c r="H5" s="19" t="n">
        <f aca="false">F5+G5</f>
        <v>484000</v>
      </c>
    </row>
    <row r="6" customFormat="false" ht="15" hidden="false" customHeight="false" outlineLevel="0" collapsed="false">
      <c r="B6" s="15" t="n">
        <v>2</v>
      </c>
      <c r="C6" s="16" t="n">
        <f aca="false">C5*(1+Assumptions!$F$5)</f>
        <v>87946.25</v>
      </c>
      <c r="D6" s="17" t="n">
        <f aca="false">CEILING(C6/Assumptions!$F$7,1)</f>
        <v>10</v>
      </c>
      <c r="E6" s="17" t="n">
        <f aca="false">D6-D5</f>
        <v>1</v>
      </c>
      <c r="F6" s="18" t="n">
        <f aca="false">D6*Assumptions!$F$8</f>
        <v>520000</v>
      </c>
      <c r="G6" s="18" t="n">
        <f aca="false">E6*Assumptions!$F$9</f>
        <v>8000</v>
      </c>
      <c r="H6" s="19" t="n">
        <f aca="false">F6+G6</f>
        <v>528000</v>
      </c>
    </row>
    <row r="7" customFormat="false" ht="15" hidden="false" customHeight="false" outlineLevel="0" collapsed="false">
      <c r="B7" s="15" t="n">
        <v>3</v>
      </c>
      <c r="C7" s="16" t="n">
        <f aca="false">C6*(1+Assumptions!$F$5)</f>
        <v>101138.1875</v>
      </c>
      <c r="D7" s="17" t="n">
        <f aca="false">CEILING(C7/Assumptions!$F$7,1)</f>
        <v>11</v>
      </c>
      <c r="E7" s="17" t="n">
        <f aca="false">D7-D6</f>
        <v>1</v>
      </c>
      <c r="F7" s="18" t="n">
        <f aca="false">D7*Assumptions!$F$8</f>
        <v>572000</v>
      </c>
      <c r="G7" s="18" t="n">
        <f aca="false">E7*Assumptions!$F$9</f>
        <v>8000</v>
      </c>
      <c r="H7" s="19" t="n">
        <f aca="false">F7+G7</f>
        <v>580000</v>
      </c>
    </row>
    <row r="9" customFormat="false" ht="15" hidden="false" customHeight="false" outlineLevel="0" collapsed="false">
      <c r="B9" s="3" t="s">
        <v>36</v>
      </c>
      <c r="H9" s="20" t="n">
        <f aca="false">SUM(H5:H7)</f>
        <v>1592000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1" min="10" style="0" width="13"/>
  </cols>
  <sheetData>
    <row r="2" customFormat="false" ht="17.35" hidden="false" customHeight="false" outlineLevel="0" collapsed="false">
      <c r="B2" s="13" t="s">
        <v>37</v>
      </c>
      <c r="C2" s="13"/>
      <c r="D2" s="13"/>
      <c r="E2" s="13"/>
      <c r="F2" s="13"/>
      <c r="G2" s="13"/>
      <c r="H2" s="13"/>
      <c r="I2" s="13"/>
      <c r="J2" s="13"/>
    </row>
    <row r="4" customFormat="false" ht="35.05" hidden="false" customHeight="false" outlineLevel="0" collapsed="false">
      <c r="B4" s="14" t="s">
        <v>29</v>
      </c>
      <c r="C4" s="14" t="s">
        <v>30</v>
      </c>
      <c r="D4" s="14" t="s">
        <v>38</v>
      </c>
      <c r="E4" s="14" t="s">
        <v>39</v>
      </c>
      <c r="F4" s="14" t="s">
        <v>40</v>
      </c>
      <c r="G4" s="14" t="s">
        <v>33</v>
      </c>
      <c r="H4" s="14" t="s">
        <v>41</v>
      </c>
      <c r="I4" s="14" t="s">
        <v>42</v>
      </c>
      <c r="J4" s="14" t="s">
        <v>43</v>
      </c>
      <c r="K4" s="14" t="s">
        <v>35</v>
      </c>
    </row>
    <row r="5" customFormat="false" ht="15" hidden="false" customHeight="false" outlineLevel="0" collapsed="false">
      <c r="B5" s="15" t="n">
        <v>1</v>
      </c>
      <c r="C5" s="21" t="n">
        <f aca="false">'Option B - Hire'!C5</f>
        <v>76475</v>
      </c>
      <c r="D5" s="16" t="n">
        <f aca="false">C5*Assumptions!$F$16</f>
        <v>49708.75</v>
      </c>
      <c r="E5" s="16" t="n">
        <f aca="false">C5-D5</f>
        <v>26766.25</v>
      </c>
      <c r="F5" s="17" t="n">
        <f aca="false">MAX(Assumptions!$F$6,CEILING(E5/Assumptions!$F$7,1))</f>
        <v>7</v>
      </c>
      <c r="G5" s="18" t="n">
        <f aca="false">F5*Assumptions!$F$8</f>
        <v>364000</v>
      </c>
      <c r="H5" s="18" t="n">
        <f aca="false">Assumptions!$F$13</f>
        <v>85000</v>
      </c>
      <c r="I5" s="18" t="n">
        <f aca="false">Assumptions!$F$14</f>
        <v>120000</v>
      </c>
      <c r="J5" s="18" t="n">
        <f aca="false">Assumptions!$F$15</f>
        <v>15000</v>
      </c>
      <c r="K5" s="19" t="n">
        <f aca="false">G5+H5+I5+J5</f>
        <v>584000</v>
      </c>
    </row>
    <row r="6" customFormat="false" ht="15" hidden="false" customHeight="false" outlineLevel="0" collapsed="false">
      <c r="B6" s="15" t="n">
        <v>2</v>
      </c>
      <c r="C6" s="21" t="n">
        <f aca="false">'Option B - Hire'!C6</f>
        <v>87946.25</v>
      </c>
      <c r="D6" s="16" t="n">
        <f aca="false">C6*Assumptions!$F$17</f>
        <v>65959.6875</v>
      </c>
      <c r="E6" s="16" t="n">
        <f aca="false">C6-D6</f>
        <v>21986.5625</v>
      </c>
      <c r="F6" s="17" t="n">
        <f aca="false">MAX(Assumptions!$F$6,CEILING(E6/Assumptions!$F$7,1))</f>
        <v>7</v>
      </c>
      <c r="G6" s="18" t="n">
        <f aca="false">F6*Assumptions!$F$8</f>
        <v>364000</v>
      </c>
      <c r="H6" s="18" t="n">
        <f aca="false">Assumptions!$F$13</f>
        <v>85000</v>
      </c>
      <c r="I6" s="18" t="n">
        <v>0</v>
      </c>
      <c r="J6" s="18" t="n">
        <f aca="false">Assumptions!$F$15</f>
        <v>15000</v>
      </c>
      <c r="K6" s="19" t="n">
        <f aca="false">G6+H6+I6+J6</f>
        <v>464000</v>
      </c>
    </row>
    <row r="7" customFormat="false" ht="15" hidden="false" customHeight="false" outlineLevel="0" collapsed="false">
      <c r="B7" s="15" t="n">
        <v>3</v>
      </c>
      <c r="C7" s="21" t="n">
        <f aca="false">'Option B - Hire'!C7</f>
        <v>101138.1875</v>
      </c>
      <c r="D7" s="16" t="n">
        <f aca="false">C7*Assumptions!$F$18</f>
        <v>80910.55</v>
      </c>
      <c r="E7" s="16" t="n">
        <f aca="false">C7-D7</f>
        <v>20227.6375</v>
      </c>
      <c r="F7" s="17" t="n">
        <f aca="false">MAX(Assumptions!$F$6,CEILING(E7/Assumptions!$F$7,1))</f>
        <v>7</v>
      </c>
      <c r="G7" s="18" t="n">
        <f aca="false">F7*Assumptions!$F$8</f>
        <v>364000</v>
      </c>
      <c r="H7" s="18" t="n">
        <f aca="false">Assumptions!$F$13</f>
        <v>85000</v>
      </c>
      <c r="I7" s="18" t="n">
        <v>0</v>
      </c>
      <c r="J7" s="18" t="n">
        <f aca="false">Assumptions!$F$15</f>
        <v>15000</v>
      </c>
      <c r="K7" s="19" t="n">
        <f aca="false">G7+H7+I7+J7</f>
        <v>464000</v>
      </c>
    </row>
    <row r="9" customFormat="false" ht="15" hidden="false" customHeight="false" outlineLevel="0" collapsed="false">
      <c r="B9" s="3" t="s">
        <v>36</v>
      </c>
      <c r="K9" s="20" t="n">
        <f aca="false">SUM(K5:K7)</f>
        <v>1512000</v>
      </c>
    </row>
    <row r="11" customFormat="false" ht="15" hidden="false" customHeight="false" outlineLevel="0" collapsed="false">
      <c r="B11" s="3" t="s">
        <v>44</v>
      </c>
    </row>
    <row r="12" customFormat="false" ht="35.05" hidden="false" customHeight="false" outlineLevel="0" collapsed="false">
      <c r="B12" s="14" t="s">
        <v>29</v>
      </c>
      <c r="C12" s="14" t="s">
        <v>45</v>
      </c>
      <c r="D12" s="14" t="s">
        <v>46</v>
      </c>
      <c r="E12" s="14" t="s">
        <v>47</v>
      </c>
    </row>
    <row r="13" customFormat="false" ht="15" hidden="false" customHeight="false" outlineLevel="0" collapsed="false">
      <c r="B13" s="15" t="n">
        <v>1</v>
      </c>
      <c r="C13" s="18" t="n">
        <f aca="false">D5*Assumptions!$F$11*Assumptions!$F$12</f>
        <v>10438.8375</v>
      </c>
      <c r="D13" s="18" t="n">
        <f aca="false">E5*Assumptions!$F$10*Assumptions!$F$12</f>
        <v>23420.46875</v>
      </c>
      <c r="E13" s="19" t="n">
        <f aca="false">C13+D13</f>
        <v>33859.30625</v>
      </c>
    </row>
    <row r="14" customFormat="false" ht="15" hidden="false" customHeight="false" outlineLevel="0" collapsed="false">
      <c r="B14" s="15" t="n">
        <v>2</v>
      </c>
      <c r="C14" s="18" t="n">
        <f aca="false">D6*Assumptions!$F$11*Assumptions!$F$12</f>
        <v>13851.534375</v>
      </c>
      <c r="D14" s="18" t="n">
        <f aca="false">E6*Assumptions!$F$10*Assumptions!$F$12</f>
        <v>19238.2421875</v>
      </c>
      <c r="E14" s="19" t="n">
        <f aca="false">C14+D14</f>
        <v>33089.7765625</v>
      </c>
    </row>
    <row r="15" customFormat="false" ht="15" hidden="false" customHeight="false" outlineLevel="0" collapsed="false">
      <c r="B15" s="15" t="n">
        <v>3</v>
      </c>
      <c r="C15" s="18" t="n">
        <f aca="false">D7*Assumptions!$F$11*Assumptions!$F$12</f>
        <v>16991.2155</v>
      </c>
      <c r="D15" s="18" t="n">
        <f aca="false">E7*Assumptions!$F$10*Assumptions!$F$12</f>
        <v>17699.1828125</v>
      </c>
      <c r="E15" s="19" t="n">
        <f aca="false">C15+D15</f>
        <v>34690.3983125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9" min="3" style="0" width="15"/>
  </cols>
  <sheetData>
    <row r="2" customFormat="false" ht="17.35" hidden="false" customHeight="false" outlineLevel="0" collapsed="false">
      <c r="B2" s="13" t="s">
        <v>48</v>
      </c>
      <c r="C2" s="13"/>
      <c r="D2" s="13"/>
      <c r="E2" s="13"/>
      <c r="F2" s="13"/>
      <c r="G2" s="13"/>
      <c r="H2" s="13"/>
    </row>
    <row r="4" customFormat="false" ht="46.25" hidden="false" customHeight="false" outlineLevel="0" collapsed="false">
      <c r="B4" s="14" t="s">
        <v>29</v>
      </c>
      <c r="C4" s="14" t="s">
        <v>49</v>
      </c>
      <c r="D4" s="14" t="s">
        <v>50</v>
      </c>
      <c r="E4" s="14" t="s">
        <v>51</v>
      </c>
      <c r="F4" s="14" t="s">
        <v>52</v>
      </c>
      <c r="G4" s="14" t="s">
        <v>53</v>
      </c>
      <c r="H4" s="14" t="s">
        <v>54</v>
      </c>
      <c r="I4" s="14" t="s">
        <v>55</v>
      </c>
    </row>
    <row r="5" customFormat="false" ht="15" hidden="false" customHeight="false" outlineLevel="0" collapsed="false">
      <c r="B5" s="15" t="n">
        <v>1</v>
      </c>
      <c r="C5" s="22" t="n">
        <f aca="false">'Option B - Hire'!H5</f>
        <v>484000</v>
      </c>
      <c r="D5" s="22" t="n">
        <f aca="false">'Option C - Automate'!K5</f>
        <v>584000</v>
      </c>
      <c r="E5" s="18" t="n">
        <f aca="false">C5-D5</f>
        <v>-100000</v>
      </c>
      <c r="F5" s="22" t="n">
        <f aca="false">'Option C - Automate'!C5*Assumptions!$F$10*Assumptions!$F$12</f>
        <v>66915.625</v>
      </c>
      <c r="G5" s="22" t="n">
        <f aca="false">'Option C - Automate'!E13</f>
        <v>33859.30625</v>
      </c>
      <c r="H5" s="18" t="n">
        <f aca="false">F5-G5</f>
        <v>33056.31875</v>
      </c>
      <c r="I5" s="19" t="n">
        <f aca="false">E5+H5</f>
        <v>-66943.68125</v>
      </c>
    </row>
    <row r="6" customFormat="false" ht="15" hidden="false" customHeight="false" outlineLevel="0" collapsed="false">
      <c r="B6" s="15" t="n">
        <v>2</v>
      </c>
      <c r="C6" s="22" t="n">
        <f aca="false">'Option B - Hire'!H6</f>
        <v>528000</v>
      </c>
      <c r="D6" s="22" t="n">
        <f aca="false">'Option C - Automate'!K6</f>
        <v>464000</v>
      </c>
      <c r="E6" s="18" t="n">
        <f aca="false">C6-D6</f>
        <v>64000</v>
      </c>
      <c r="F6" s="22" t="n">
        <f aca="false">'Option C - Automate'!C6*Assumptions!$F$10*Assumptions!$F$12</f>
        <v>76952.96875</v>
      </c>
      <c r="G6" s="22" t="n">
        <f aca="false">'Option C - Automate'!E14</f>
        <v>33089.7765625</v>
      </c>
      <c r="H6" s="18" t="n">
        <f aca="false">F6-G6</f>
        <v>43863.1921875</v>
      </c>
      <c r="I6" s="19" t="n">
        <f aca="false">E6+H6</f>
        <v>107863.1921875</v>
      </c>
    </row>
    <row r="7" customFormat="false" ht="15" hidden="false" customHeight="false" outlineLevel="0" collapsed="false">
      <c r="B7" s="15" t="n">
        <v>3</v>
      </c>
      <c r="C7" s="22" t="n">
        <f aca="false">'Option B - Hire'!H7</f>
        <v>580000</v>
      </c>
      <c r="D7" s="22" t="n">
        <f aca="false">'Option C - Automate'!K7</f>
        <v>464000</v>
      </c>
      <c r="E7" s="18" t="n">
        <f aca="false">C7-D7</f>
        <v>116000</v>
      </c>
      <c r="F7" s="22" t="n">
        <f aca="false">'Option C - Automate'!C7*Assumptions!$F$10*Assumptions!$F$12</f>
        <v>88495.9140625</v>
      </c>
      <c r="G7" s="22" t="n">
        <f aca="false">'Option C - Automate'!E15</f>
        <v>34690.3983125</v>
      </c>
      <c r="H7" s="18" t="n">
        <f aca="false">F7-G7</f>
        <v>53805.51575</v>
      </c>
      <c r="I7" s="19" t="n">
        <f aca="false">E7+H7</f>
        <v>169805.51575</v>
      </c>
    </row>
    <row r="9" customFormat="false" ht="15" hidden="false" customHeight="false" outlineLevel="0" collapsed="false">
      <c r="B9" s="3" t="s">
        <v>56</v>
      </c>
      <c r="I9" s="20" t="n">
        <f aca="false">SUM(I5:I7)</f>
        <v>210725.0266875</v>
      </c>
    </row>
    <row r="12" customFormat="false" ht="15" hidden="false" customHeight="false" outlineLevel="0" collapsed="false">
      <c r="B12" s="3" t="s">
        <v>57</v>
      </c>
    </row>
    <row r="13" customFormat="false" ht="15" hidden="false" customHeight="false" outlineLevel="0" collapsed="false">
      <c r="B13" s="14" t="s">
        <v>29</v>
      </c>
      <c r="C13" s="14" t="s">
        <v>55</v>
      </c>
      <c r="D13" s="14" t="s">
        <v>58</v>
      </c>
      <c r="E13" s="14" t="s">
        <v>59</v>
      </c>
      <c r="F13" s="14" t="s">
        <v>60</v>
      </c>
    </row>
    <row r="14" customFormat="false" ht="15" hidden="false" customHeight="false" outlineLevel="0" collapsed="false">
      <c r="B14" s="15" t="n">
        <v>1</v>
      </c>
      <c r="C14" s="22" t="n">
        <f aca="false">I5</f>
        <v>-66943.68125</v>
      </c>
      <c r="D14" s="23" t="n">
        <f aca="false">1/(1+Assumptions!$F$19)^B14</f>
        <v>0.925925925925926</v>
      </c>
      <c r="E14" s="18" t="n">
        <f aca="false">C14*D14</f>
        <v>-61984.8900462963</v>
      </c>
      <c r="F14" s="18" t="n">
        <f aca="false">E14</f>
        <v>-61984.8900462963</v>
      </c>
    </row>
    <row r="15" customFormat="false" ht="15" hidden="false" customHeight="false" outlineLevel="0" collapsed="false">
      <c r="B15" s="15" t="n">
        <v>2</v>
      </c>
      <c r="C15" s="22" t="n">
        <f aca="false">I6</f>
        <v>107863.1921875</v>
      </c>
      <c r="D15" s="23" t="n">
        <f aca="false">1/(1+Assumptions!$F$19)^B15</f>
        <v>0.857338820301783</v>
      </c>
      <c r="E15" s="18" t="n">
        <f aca="false">C15*D15</f>
        <v>92475.3019440158</v>
      </c>
      <c r="F15" s="18" t="n">
        <f aca="false">F14+E15</f>
        <v>30490.4118977195</v>
      </c>
    </row>
    <row r="16" customFormat="false" ht="15" hidden="false" customHeight="false" outlineLevel="0" collapsed="false">
      <c r="B16" s="15" t="n">
        <v>3</v>
      </c>
      <c r="C16" s="22" t="n">
        <f aca="false">I7</f>
        <v>169805.51575</v>
      </c>
      <c r="D16" s="23" t="n">
        <f aca="false">1/(1+Assumptions!$F$19)^B16</f>
        <v>0.79383224102017</v>
      </c>
      <c r="E16" s="18" t="n">
        <f aca="false">C16*D16</f>
        <v>134797.093105408</v>
      </c>
      <c r="F16" s="18" t="n">
        <f aca="false">F15+E16</f>
        <v>165287.505003128</v>
      </c>
    </row>
    <row r="18" customFormat="false" ht="15" hidden="false" customHeight="false" outlineLevel="0" collapsed="false">
      <c r="B18" s="3" t="s">
        <v>61</v>
      </c>
      <c r="E18" s="20" t="n">
        <f aca="false">SUM(E14:E16)</f>
        <v>165287.505003128</v>
      </c>
    </row>
    <row r="20" customFormat="false" ht="15" hidden="false" customHeight="false" outlineLevel="0" collapsed="false">
      <c r="B20" s="3" t="s">
        <v>62</v>
      </c>
    </row>
    <row r="21" customFormat="false" ht="15" hidden="false" customHeight="false" outlineLevel="0" collapsed="false">
      <c r="B21" s="0" t="s">
        <v>63</v>
      </c>
      <c r="E21" s="24" t="n">
        <f aca="false">I5</f>
        <v>-66943.68125</v>
      </c>
    </row>
    <row r="22" customFormat="false" ht="15" hidden="false" customHeight="false" outlineLevel="0" collapsed="false">
      <c r="B22" s="0" t="s">
        <v>64</v>
      </c>
      <c r="E22" s="24" t="n">
        <f aca="false">E21+I6</f>
        <v>40919.5109375</v>
      </c>
    </row>
    <row r="23" customFormat="false" ht="15" hidden="false" customHeight="false" outlineLevel="0" collapsed="false">
      <c r="B23" s="0" t="s">
        <v>65</v>
      </c>
      <c r="E23" s="24" t="n">
        <f aca="false">E22+I7</f>
        <v>210725.0266875</v>
      </c>
    </row>
    <row r="25" customFormat="false" ht="15" hidden="false" customHeight="false" outlineLevel="0" collapsed="false">
      <c r="B25" s="3" t="s">
        <v>66</v>
      </c>
      <c r="E25" s="25" t="n">
        <f aca="false">IF(E21&gt;=0,-E21/I5+1,IF(E22&gt;=0,1+(-E21)/I6,IF(E23&gt;=0,2+(-E22)/I7,"beyond 3 years")))</f>
        <v>1.62063508313041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3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3" t="s">
        <v>67</v>
      </c>
      <c r="C2" s="13"/>
      <c r="D2" s="13"/>
      <c r="E2" s="13"/>
      <c r="F2" s="13"/>
    </row>
    <row r="4" customFormat="false" ht="15" hidden="false" customHeight="false" outlineLevel="0" collapsed="false">
      <c r="B4" s="15" t="s">
        <v>68</v>
      </c>
      <c r="C4" s="15"/>
      <c r="D4" s="15"/>
      <c r="E4" s="26" t="n">
        <f aca="false">'Option B - Hire'!H9</f>
        <v>1592000</v>
      </c>
    </row>
    <row r="5" customFormat="false" ht="15" hidden="false" customHeight="false" outlineLevel="0" collapsed="false">
      <c r="B5" s="15" t="s">
        <v>69</v>
      </c>
      <c r="C5" s="15"/>
      <c r="D5" s="15"/>
      <c r="E5" s="26" t="n">
        <f aca="false">'Option C - Automate'!K9</f>
        <v>1512000</v>
      </c>
    </row>
    <row r="6" customFormat="false" ht="15" hidden="false" customHeight="false" outlineLevel="0" collapsed="false">
      <c r="B6" s="15" t="s">
        <v>70</v>
      </c>
      <c r="C6" s="15"/>
      <c r="D6" s="15"/>
      <c r="E6" s="26" t="n">
        <f aca="false">'NPV &amp; Payback'!I9</f>
        <v>210725.0266875</v>
      </c>
    </row>
    <row r="7" customFormat="false" ht="15" hidden="false" customHeight="false" outlineLevel="0" collapsed="false">
      <c r="B7" s="15" t="s">
        <v>61</v>
      </c>
      <c r="C7" s="15"/>
      <c r="D7" s="15"/>
      <c r="E7" s="26" t="n">
        <f aca="false">'NPV &amp; Payback'!E18</f>
        <v>165287.505003128</v>
      </c>
    </row>
    <row r="8" customFormat="false" ht="15" hidden="false" customHeight="false" outlineLevel="0" collapsed="false">
      <c r="B8" s="15" t="s">
        <v>66</v>
      </c>
      <c r="C8" s="15"/>
      <c r="D8" s="15"/>
      <c r="E8" s="27" t="n">
        <f aca="false">'NPV &amp; Payback'!E25</f>
        <v>1.62063508313041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2026-09-03T15:21:20Z</dcterms:created>
  <dc:creator>openpyxl</dc:creator>
  <dc:description/>
  <dc:language>en-US</dc:language>
  <cp:lastModifiedBy/>
  <dcterms:modified xsi:type="dcterms:W3CDTF">2026-09-03T15:21:20Z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