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ower-Interest Grid" sheetId="2" state="visible" r:id="rId4"/>
    <sheet name="RACI Matri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<sst xmlns="http://schemas.openxmlformats.org/spreadsheetml/2006/main" count="119" uniqueCount="69">
  <si>
    <t xml:space="preserve">Case 03 — Stakeholder Analysis</t>
  </si>
  <si>
    <t xml:space="preserve">Supports the Change Management Plan for integrating Colton Regional Supply's warehouse operations into Brightpath Distribution after acquisition. Two tabs: a power/interest grid (who to engage, and how) and a RACI matrix for the nine key integration activities.</t>
  </si>
  <si>
    <t xml:space="preserve">Color legend</t>
  </si>
  <si>
    <t xml:space="preserve">Blue text</t>
  </si>
  <si>
    <t xml:space="preserve">Hardcoded input — power/interest rating or RACI assignment</t>
  </si>
  <si>
    <t xml:space="preserve">Yellow fill</t>
  </si>
  <si>
    <t xml:space="preserve">Key assumption</t>
  </si>
  <si>
    <t xml:space="preserve">Black text</t>
  </si>
  <si>
    <t xml:space="preserve">Formula</t>
  </si>
  <si>
    <t xml:space="preserve">Power / Interest Grid</t>
  </si>
  <si>
    <t xml:space="preserve">High threshold — a rating above this counts as "high" (1-5 scale)</t>
  </si>
  <si>
    <t xml:space="preserve">Stakeholder</t>
  </si>
  <si>
    <t xml:space="preserve">Power (1-5)</t>
  </si>
  <si>
    <t xml:space="preserve">Interest (1-5)</t>
  </si>
  <si>
    <t xml:space="preserve">Quadrant</t>
  </si>
  <si>
    <t xml:space="preserve">Engagement strategy</t>
  </si>
  <si>
    <t xml:space="preserve">CEO (Brightpath)</t>
  </si>
  <si>
    <t xml:space="preserve">Brief at milestones only; do not overload with operational detail — needs confidence the integration is on track, not the mechanics.</t>
  </si>
  <si>
    <t xml:space="preserve">COO / Integration Sponsor</t>
  </si>
  <si>
    <t xml:space="preserve">Weekly steering check-in; owns final call on any scope or timeline change.</t>
  </si>
  <si>
    <t xml:space="preserve">VP Operations (Brightpath)</t>
  </si>
  <si>
    <t xml:space="preserve">Co-owns the plan; weekly working session with the integration team.</t>
  </si>
  <si>
    <t xml:space="preserve">Colton Regional GM</t>
  </si>
  <si>
    <t xml:space="preserve">Co-owns the plan; primary voice for Colton staff concerns — must be seen as a partner, not a subordinate, or the whole rollout reads as a takeover.</t>
  </si>
  <si>
    <t xml:space="preserve">Brightpath Warehouse Ops Managers</t>
  </si>
  <si>
    <t xml:space="preserve">Involved in shift/scheduling and safety-procedure design; their buy-in determines floor-level adoption.</t>
  </si>
  <si>
    <t xml:space="preserve">Colton Warehouse Ops Managers</t>
  </si>
  <si>
    <t xml:space="preserve">Same involvement as Brightpath counterparts, deliberately mirrored — asymmetric treatment here is a top resistance risk.</t>
  </si>
  <si>
    <t xml:space="preserve">IT / Systems Integration Lead</t>
  </si>
  <si>
    <t xml:space="preserve">Standing biweekly sync; escalation path for data-migration issues.</t>
  </si>
  <si>
    <t xml:space="preserve">HR Director</t>
  </si>
  <si>
    <t xml:space="preserve">Co-owns communications and the training plan; accountable for consistent messaging.</t>
  </si>
  <si>
    <t xml:space="preserve">Finance / Payroll</t>
  </si>
  <si>
    <t xml:space="preserve">Consulted on payroll-system cutover timing only; not involved in operational design.</t>
  </si>
  <si>
    <t xml:space="preserve">Brightpath Warehouse Staff</t>
  </si>
  <si>
    <t xml:space="preserve">Town halls + team-lead cascade; two-way channel for questions, not one-way announcements.</t>
  </si>
  <si>
    <t xml:space="preserve">Colton Warehouse Staff</t>
  </si>
  <si>
    <t xml:space="preserve">Highest anxiety group (job security, new management) — most frequent, most concrete communication; specific answers, not general reassurance.</t>
  </si>
  <si>
    <t xml:space="preserve">Key Colton-region customers</t>
  </si>
  <si>
    <t xml:space="preserve">Single proactive letter/call ahead of cutover confirming no service disruption; monitor for complaints during go-live week.</t>
  </si>
  <si>
    <t xml:space="preserve">Count by quadrant</t>
  </si>
  <si>
    <t xml:space="preserve">Manage Closely</t>
  </si>
  <si>
    <t xml:space="preserve">Keep Satisfied</t>
  </si>
  <si>
    <t xml:space="preserve">Keep Informed</t>
  </si>
  <si>
    <t xml:space="preserve">Monitor</t>
  </si>
  <si>
    <t xml:space="preserve">RACI Matrix — Integration Activities</t>
  </si>
  <si>
    <t xml:space="preserve">R = Responsible · A = Accountable (exactly one per activity) · C = Consulted · I = Informed</t>
  </si>
  <si>
    <t xml:space="preserve">Activity</t>
  </si>
  <si>
    <t xml:space="preserve">COO / Sponsor</t>
  </si>
  <si>
    <t xml:space="preserve">VP Ops (Brightpath)</t>
  </si>
  <si>
    <t xml:space="preserve">Colton GM</t>
  </si>
  <si>
    <t xml:space="preserve">Warehouse Ops Managers</t>
  </si>
  <si>
    <t xml:space="preserve">IT Integration Lead</t>
  </si>
  <si>
    <t xml:space="preserve">Warehouse Staff</t>
  </si>
  <si>
    <t xml:space="preserve">Check</t>
  </si>
  <si>
    <t xml:space="preserve">Approve unified WMS platform selection</t>
  </si>
  <si>
    <t xml:space="preserve">A</t>
  </si>
  <si>
    <t xml:space="preserve">C</t>
  </si>
  <si>
    <t xml:space="preserve">R</t>
  </si>
  <si>
    <t xml:space="preserve">I</t>
  </si>
  <si>
    <t xml:space="preserve">Design unified shift/scheduling policy</t>
  </si>
  <si>
    <t xml:space="preserve">Communicate role/reporting-line changes to staff</t>
  </si>
  <si>
    <t xml:space="preserve">Migrate Colton inventory data to unified WMS</t>
  </si>
  <si>
    <t xml:space="preserve">Deliver cross-training on new WMS &amp; procedures</t>
  </si>
  <si>
    <t xml:space="preserve">Set unified safety &amp; incident-reporting procedures</t>
  </si>
  <si>
    <t xml:space="preserve">Finalize integrated org chart &amp; reporting lines</t>
  </si>
  <si>
    <t xml:space="preserve">Go-live cutover weekend execution</t>
  </si>
  <si>
    <t xml:space="preserve">Post-integration 30-day review</t>
  </si>
  <si>
    <t xml:space="preserve">All activities have exactly one Accountable?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</si>
</sst>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603B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603B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2C0"/>
      </left>
      <right style="thin">
        <color rgb="FFB9C2C0"/>
      </right>
      <top style="thin">
        <color rgb="FFB9C2C0"/>
      </top>
      <bottom style="thin">
        <color rgb="FFB9C2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2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60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70"/>
  </cols>
  <sheetData>
    <row r="2" customFormat="false" ht="17.35" hidden="false" customHeight="false" outlineLevel="0" collapsed="false">
      <c r="B2" s="1" t="s">
        <v>0</v>
      </c>
    </row>
    <row r="4" customFormat="false" ht="48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6" t="s">
        <v>5</v>
      </c>
      <c r="C8" s="5" t="s">
        <v>6</v>
      </c>
    </row>
    <row r="9" customFormat="false" ht="15" hidden="false" customHeight="false" outlineLevel="0" collapsed="false">
      <c r="B9" s="7" t="s">
        <v>7</v>
      </c>
      <c r="C9" s="5" t="s">
        <v>8</v>
      </c>
    </row>
  </sheetData>
  <mergeCells count="1"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62"/>
  </cols>
  <sheetData>
    <row r="2" customFormat="false" ht="17.35" hidden="false" customHeight="false" outlineLevel="0" collapsed="false">
      <c r="B2" s="8" t="s">
        <v>9</v>
      </c>
      <c r="C2" s="8"/>
      <c r="D2" s="8"/>
      <c r="E2" s="8"/>
      <c r="F2" s="8"/>
      <c r="G2" s="8"/>
    </row>
    <row r="4" customFormat="false" ht="15" hidden="false" customHeight="false" outlineLevel="0" collapsed="false">
      <c r="B4" s="0" t="s">
        <v>10</v>
      </c>
      <c r="E4" s="9" t="n">
        <v>3</v>
      </c>
    </row>
    <row r="6" customFormat="false" ht="15" hidden="false" customHeight="false" outlineLevel="0" collapsed="false">
      <c r="B6" s="10" t="s">
        <v>11</v>
      </c>
      <c r="C6" s="10" t="s">
        <v>12</v>
      </c>
      <c r="D6" s="10" t="s">
        <v>13</v>
      </c>
      <c r="E6" s="10" t="s">
        <v>14</v>
      </c>
      <c r="F6" s="10" t="s">
        <v>15</v>
      </c>
    </row>
    <row r="7" customFormat="false" ht="31.5" hidden="false" customHeight="true" outlineLevel="0" collapsed="false">
      <c r="B7" s="11" t="s">
        <v>16</v>
      </c>
      <c r="C7" s="12" t="n">
        <v>5</v>
      </c>
      <c r="D7" s="12" t="n">
        <v>2</v>
      </c>
      <c r="E7" s="13" t="str">
        <f aca="false">IF(AND(C7&gt;$E$4,D7&gt;$E$4),"Manage Closely",IF(AND(C7&gt;$E$4,D7&lt;=$E$4),"Keep Satisfied",IF(AND(C7&lt;=$E$4,D7&gt;$E$4),"Keep Informed","Monitor")))</f>
        <v>Keep Satisfied</v>
      </c>
      <c r="F7" s="14" t="s">
        <v>17</v>
      </c>
    </row>
    <row r="8" customFormat="false" ht="31.5" hidden="false" customHeight="true" outlineLevel="0" collapsed="false">
      <c r="B8" s="11" t="s">
        <v>18</v>
      </c>
      <c r="C8" s="12" t="n">
        <v>5</v>
      </c>
      <c r="D8" s="12" t="n">
        <v>5</v>
      </c>
      <c r="E8" s="13" t="str">
        <f aca="false">IF(AND(C8&gt;$E$4,D8&gt;$E$4),"Manage Closely",IF(AND(C8&gt;$E$4,D8&lt;=$E$4),"Keep Satisfied",IF(AND(C8&lt;=$E$4,D8&gt;$E$4),"Keep Informed","Monitor")))</f>
        <v>Manage Closely</v>
      </c>
      <c r="F8" s="14" t="s">
        <v>19</v>
      </c>
    </row>
    <row r="9" customFormat="false" ht="31.5" hidden="false" customHeight="true" outlineLevel="0" collapsed="false">
      <c r="B9" s="11" t="s">
        <v>20</v>
      </c>
      <c r="C9" s="12" t="n">
        <v>4</v>
      </c>
      <c r="D9" s="12" t="n">
        <v>5</v>
      </c>
      <c r="E9" s="13" t="str">
        <f aca="false">IF(AND(C9&gt;$E$4,D9&gt;$E$4),"Manage Closely",IF(AND(C9&gt;$E$4,D9&lt;=$E$4),"Keep Satisfied",IF(AND(C9&lt;=$E$4,D9&gt;$E$4),"Keep Informed","Monitor")))</f>
        <v>Manage Closely</v>
      </c>
      <c r="F9" s="14" t="s">
        <v>21</v>
      </c>
    </row>
    <row r="10" customFormat="false" ht="31.5" hidden="false" customHeight="true" outlineLevel="0" collapsed="false">
      <c r="B10" s="11" t="s">
        <v>22</v>
      </c>
      <c r="C10" s="12" t="n">
        <v>4</v>
      </c>
      <c r="D10" s="12" t="n">
        <v>5</v>
      </c>
      <c r="E10" s="13" t="str">
        <f aca="false">IF(AND(C10&gt;$E$4,D10&gt;$E$4),"Manage Closely",IF(AND(C10&gt;$E$4,D10&lt;=$E$4),"Keep Satisfied",IF(AND(C10&lt;=$E$4,D10&gt;$E$4),"Keep Informed","Monitor")))</f>
        <v>Manage Closely</v>
      </c>
      <c r="F10" s="14" t="s">
        <v>23</v>
      </c>
    </row>
    <row r="11" customFormat="false" ht="31.5" hidden="false" customHeight="true" outlineLevel="0" collapsed="false">
      <c r="B11" s="11" t="s">
        <v>24</v>
      </c>
      <c r="C11" s="12" t="n">
        <v>3</v>
      </c>
      <c r="D11" s="12" t="n">
        <v>4</v>
      </c>
      <c r="E11" s="13" t="str">
        <f aca="false">IF(AND(C11&gt;$E$4,D11&gt;$E$4),"Manage Closely",IF(AND(C11&gt;$E$4,D11&lt;=$E$4),"Keep Satisfied",IF(AND(C11&lt;=$E$4,D11&gt;$E$4),"Keep Informed","Monitor")))</f>
        <v>Keep Informed</v>
      </c>
      <c r="F11" s="14" t="s">
        <v>25</v>
      </c>
    </row>
    <row r="12" customFormat="false" ht="31.5" hidden="false" customHeight="true" outlineLevel="0" collapsed="false">
      <c r="B12" s="11" t="s">
        <v>26</v>
      </c>
      <c r="C12" s="12" t="n">
        <v>3</v>
      </c>
      <c r="D12" s="12" t="n">
        <v>5</v>
      </c>
      <c r="E12" s="13" t="str">
        <f aca="false">IF(AND(C12&gt;$E$4,D12&gt;$E$4),"Manage Closely",IF(AND(C12&gt;$E$4,D12&lt;=$E$4),"Keep Satisfied",IF(AND(C12&lt;=$E$4,D12&gt;$E$4),"Keep Informed","Monitor")))</f>
        <v>Keep Informed</v>
      </c>
      <c r="F12" s="14" t="s">
        <v>27</v>
      </c>
    </row>
    <row r="13" customFormat="false" ht="31.5" hidden="false" customHeight="true" outlineLevel="0" collapsed="false">
      <c r="B13" s="11" t="s">
        <v>28</v>
      </c>
      <c r="C13" s="12" t="n">
        <v>3</v>
      </c>
      <c r="D13" s="12" t="n">
        <v>3</v>
      </c>
      <c r="E13" s="13" t="str">
        <f aca="false">IF(AND(C13&gt;$E$4,D13&gt;$E$4),"Manage Closely",IF(AND(C13&gt;$E$4,D13&lt;=$E$4),"Keep Satisfied",IF(AND(C13&lt;=$E$4,D13&gt;$E$4),"Keep Informed","Monitor")))</f>
        <v>Monitor</v>
      </c>
      <c r="F13" s="14" t="s">
        <v>29</v>
      </c>
    </row>
    <row r="14" customFormat="false" ht="31.5" hidden="false" customHeight="true" outlineLevel="0" collapsed="false">
      <c r="B14" s="11" t="s">
        <v>30</v>
      </c>
      <c r="C14" s="12" t="n">
        <v>4</v>
      </c>
      <c r="D14" s="12" t="n">
        <v>4</v>
      </c>
      <c r="E14" s="13" t="str">
        <f aca="false">IF(AND(C14&gt;$E$4,D14&gt;$E$4),"Manage Closely",IF(AND(C14&gt;$E$4,D14&lt;=$E$4),"Keep Satisfied",IF(AND(C14&lt;=$E$4,D14&gt;$E$4),"Keep Informed","Monitor")))</f>
        <v>Manage Closely</v>
      </c>
      <c r="F14" s="14" t="s">
        <v>31</v>
      </c>
    </row>
    <row r="15" customFormat="false" ht="31.5" hidden="false" customHeight="true" outlineLevel="0" collapsed="false">
      <c r="B15" s="11" t="s">
        <v>32</v>
      </c>
      <c r="C15" s="12" t="n">
        <v>3</v>
      </c>
      <c r="D15" s="12" t="n">
        <v>3</v>
      </c>
      <c r="E15" s="13" t="str">
        <f aca="false">IF(AND(C15&gt;$E$4,D15&gt;$E$4),"Manage Closely",IF(AND(C15&gt;$E$4,D15&lt;=$E$4),"Keep Satisfied",IF(AND(C15&lt;=$E$4,D15&gt;$E$4),"Keep Informed","Monitor")))</f>
        <v>Monitor</v>
      </c>
      <c r="F15" s="14" t="s">
        <v>33</v>
      </c>
    </row>
    <row r="16" customFormat="false" ht="31.5" hidden="false" customHeight="true" outlineLevel="0" collapsed="false">
      <c r="B16" s="11" t="s">
        <v>34</v>
      </c>
      <c r="C16" s="12" t="n">
        <v>2</v>
      </c>
      <c r="D16" s="12" t="n">
        <v>4</v>
      </c>
      <c r="E16" s="13" t="str">
        <f aca="false">IF(AND(C16&gt;$E$4,D16&gt;$E$4),"Manage Closely",IF(AND(C16&gt;$E$4,D16&lt;=$E$4),"Keep Satisfied",IF(AND(C16&lt;=$E$4,D16&gt;$E$4),"Keep Informed","Monitor")))</f>
        <v>Keep Informed</v>
      </c>
      <c r="F16" s="14" t="s">
        <v>35</v>
      </c>
    </row>
    <row r="17" customFormat="false" ht="31.5" hidden="false" customHeight="true" outlineLevel="0" collapsed="false">
      <c r="B17" s="11" t="s">
        <v>36</v>
      </c>
      <c r="C17" s="12" t="n">
        <v>2</v>
      </c>
      <c r="D17" s="12" t="n">
        <v>5</v>
      </c>
      <c r="E17" s="13" t="str">
        <f aca="false">IF(AND(C17&gt;$E$4,D17&gt;$E$4),"Manage Closely",IF(AND(C17&gt;$E$4,D17&lt;=$E$4),"Keep Satisfied",IF(AND(C17&lt;=$E$4,D17&gt;$E$4),"Keep Informed","Monitor")))</f>
        <v>Keep Informed</v>
      </c>
      <c r="F17" s="14" t="s">
        <v>37</v>
      </c>
    </row>
    <row r="18" customFormat="false" ht="31.5" hidden="false" customHeight="true" outlineLevel="0" collapsed="false">
      <c r="B18" s="11" t="s">
        <v>38</v>
      </c>
      <c r="C18" s="12" t="n">
        <v>3</v>
      </c>
      <c r="D18" s="12" t="n">
        <v>2</v>
      </c>
      <c r="E18" s="13" t="str">
        <f aca="false">IF(AND(C18&gt;$E$4,D18&gt;$E$4),"Manage Closely",IF(AND(C18&gt;$E$4,D18&lt;=$E$4),"Keep Satisfied",IF(AND(C18&lt;=$E$4,D18&gt;$E$4),"Keep Informed","Monitor")))</f>
        <v>Monitor</v>
      </c>
      <c r="F18" s="14" t="s">
        <v>39</v>
      </c>
    </row>
    <row r="20" customFormat="false" ht="15" hidden="false" customHeight="false" outlineLevel="0" collapsed="false">
      <c r="B20" s="3" t="s">
        <v>40</v>
      </c>
    </row>
    <row r="21" customFormat="false" ht="15" hidden="false" customHeight="false" outlineLevel="0" collapsed="false">
      <c r="B21" s="0" t="s">
        <v>41</v>
      </c>
      <c r="C21" s="7" t="n">
        <f aca="false">COUNTIF(E7:E18,B21)</f>
        <v>4</v>
      </c>
    </row>
    <row r="22" customFormat="false" ht="15" hidden="false" customHeight="false" outlineLevel="0" collapsed="false">
      <c r="B22" s="0" t="s">
        <v>42</v>
      </c>
      <c r="C22" s="7" t="n">
        <f aca="false">COUNTIF(E7:E18,B22)</f>
        <v>1</v>
      </c>
    </row>
    <row r="23" customFormat="false" ht="15" hidden="false" customHeight="false" outlineLevel="0" collapsed="false">
      <c r="B23" s="0" t="s">
        <v>43</v>
      </c>
      <c r="C23" s="7" t="n">
        <f aca="false">COUNTIF(E7:E18,B23)</f>
        <v>4</v>
      </c>
    </row>
    <row r="24" customFormat="false" ht="15" hidden="false" customHeight="false" outlineLevel="0" collapsed="false">
      <c r="B24" s="0" t="s">
        <v>44</v>
      </c>
      <c r="C24" s="7" t="n">
        <f aca="false">COUNTIF(E7:E18,B24)</f>
        <v>3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</cols>
  <sheetData>
    <row r="2" customFormat="false" ht="17.35" hidden="false" customHeight="false" outlineLevel="0" collapsed="false">
      <c r="B2" s="8" t="s">
        <v>45</v>
      </c>
      <c r="C2" s="8"/>
      <c r="D2" s="8"/>
      <c r="E2" s="8"/>
      <c r="F2" s="8"/>
      <c r="G2" s="8"/>
      <c r="H2" s="8"/>
      <c r="I2" s="8"/>
      <c r="J2" s="8"/>
    </row>
    <row r="4" customFormat="false" ht="15" hidden="false" customHeight="false" outlineLevel="0" collapsed="false">
      <c r="B4" s="15" t="s">
        <v>46</v>
      </c>
      <c r="C4" s="15"/>
      <c r="D4" s="15"/>
      <c r="E4" s="15"/>
      <c r="F4" s="15"/>
      <c r="G4" s="15"/>
      <c r="H4" s="15"/>
      <c r="I4" s="15"/>
      <c r="J4" s="15"/>
    </row>
    <row r="6" customFormat="false" ht="23.85" hidden="false" customHeight="false" outlineLevel="0" collapsed="false">
      <c r="B6" s="10" t="s">
        <v>47</v>
      </c>
      <c r="C6" s="10" t="s">
        <v>48</v>
      </c>
      <c r="D6" s="10" t="s">
        <v>49</v>
      </c>
      <c r="E6" s="10" t="s">
        <v>50</v>
      </c>
      <c r="F6" s="10" t="s">
        <v>51</v>
      </c>
      <c r="G6" s="10" t="s">
        <v>52</v>
      </c>
      <c r="H6" s="10" t="s">
        <v>30</v>
      </c>
      <c r="I6" s="10" t="s">
        <v>53</v>
      </c>
      <c r="J6" s="10" t="s">
        <v>54</v>
      </c>
    </row>
    <row r="7" customFormat="false" ht="15" hidden="false" customHeight="false" outlineLevel="0" collapsed="false">
      <c r="B7" s="11" t="s">
        <v>55</v>
      </c>
      <c r="C7" s="12" t="s">
        <v>56</v>
      </c>
      <c r="D7" s="12" t="s">
        <v>57</v>
      </c>
      <c r="E7" s="12" t="s">
        <v>57</v>
      </c>
      <c r="F7" s="12" t="s">
        <v>57</v>
      </c>
      <c r="G7" s="12" t="s">
        <v>58</v>
      </c>
      <c r="H7" s="12" t="s">
        <v>59</v>
      </c>
      <c r="I7" s="12"/>
      <c r="J7" s="13" t="str">
        <f aca="false">IF(COUNTIF(C7:I7,"A")=1,"OK","CHECK")</f>
        <v>OK</v>
      </c>
    </row>
    <row r="8" customFormat="false" ht="15" hidden="false" customHeight="false" outlineLevel="0" collapsed="false">
      <c r="B8" s="11" t="s">
        <v>60</v>
      </c>
      <c r="C8" s="12" t="s">
        <v>59</v>
      </c>
      <c r="D8" s="12" t="s">
        <v>56</v>
      </c>
      <c r="E8" s="12" t="s">
        <v>57</v>
      </c>
      <c r="F8" s="12" t="s">
        <v>58</v>
      </c>
      <c r="G8" s="12"/>
      <c r="H8" s="12" t="s">
        <v>57</v>
      </c>
      <c r="I8" s="12" t="s">
        <v>59</v>
      </c>
      <c r="J8" s="13" t="str">
        <f aca="false">IF(COUNTIF(C8:I8,"A")=1,"OK","CHECK")</f>
        <v>OK</v>
      </c>
    </row>
    <row r="9" customFormat="false" ht="15" hidden="false" customHeight="false" outlineLevel="0" collapsed="false">
      <c r="B9" s="11" t="s">
        <v>61</v>
      </c>
      <c r="C9" s="12" t="s">
        <v>59</v>
      </c>
      <c r="D9" s="12" t="s">
        <v>57</v>
      </c>
      <c r="E9" s="12" t="s">
        <v>57</v>
      </c>
      <c r="F9" s="12" t="s">
        <v>58</v>
      </c>
      <c r="G9" s="12"/>
      <c r="H9" s="12" t="s">
        <v>56</v>
      </c>
      <c r="I9" s="12" t="s">
        <v>59</v>
      </c>
      <c r="J9" s="13" t="str">
        <f aca="false">IF(COUNTIF(C9:I9,"A")=1,"OK","CHECK")</f>
        <v>OK</v>
      </c>
    </row>
    <row r="10" customFormat="false" ht="15" hidden="false" customHeight="false" outlineLevel="0" collapsed="false">
      <c r="B10" s="11" t="s">
        <v>62</v>
      </c>
      <c r="C10" s="12" t="s">
        <v>59</v>
      </c>
      <c r="D10" s="12" t="s">
        <v>59</v>
      </c>
      <c r="E10" s="12" t="s">
        <v>57</v>
      </c>
      <c r="F10" s="12" t="s">
        <v>58</v>
      </c>
      <c r="G10" s="12" t="s">
        <v>56</v>
      </c>
      <c r="H10" s="12"/>
      <c r="I10" s="12"/>
      <c r="J10" s="13" t="str">
        <f aca="false">IF(COUNTIF(C10:I10,"A")=1,"OK","CHECK")</f>
        <v>OK</v>
      </c>
    </row>
    <row r="11" customFormat="false" ht="15" hidden="false" customHeight="false" outlineLevel="0" collapsed="false">
      <c r="B11" s="11" t="s">
        <v>63</v>
      </c>
      <c r="C11" s="12"/>
      <c r="D11" s="12" t="s">
        <v>59</v>
      </c>
      <c r="E11" s="12" t="s">
        <v>59</v>
      </c>
      <c r="F11" s="12" t="s">
        <v>56</v>
      </c>
      <c r="G11" s="12" t="s">
        <v>58</v>
      </c>
      <c r="H11" s="12" t="s">
        <v>57</v>
      </c>
      <c r="I11" s="12" t="s">
        <v>59</v>
      </c>
      <c r="J11" s="13" t="str">
        <f aca="false">IF(COUNTIF(C11:I11,"A")=1,"OK","CHECK")</f>
        <v>OK</v>
      </c>
    </row>
    <row r="12" customFormat="false" ht="15" hidden="false" customHeight="false" outlineLevel="0" collapsed="false">
      <c r="B12" s="11" t="s">
        <v>64</v>
      </c>
      <c r="C12" s="12" t="s">
        <v>59</v>
      </c>
      <c r="D12" s="12" t="s">
        <v>56</v>
      </c>
      <c r="E12" s="12" t="s">
        <v>57</v>
      </c>
      <c r="F12" s="12" t="s">
        <v>58</v>
      </c>
      <c r="G12" s="12"/>
      <c r="H12" s="12" t="s">
        <v>57</v>
      </c>
      <c r="I12" s="12" t="s">
        <v>59</v>
      </c>
      <c r="J12" s="13" t="str">
        <f aca="false">IF(COUNTIF(C12:I12,"A")=1,"OK","CHECK")</f>
        <v>OK</v>
      </c>
    </row>
    <row r="13" customFormat="false" ht="15" hidden="false" customHeight="false" outlineLevel="0" collapsed="false">
      <c r="B13" s="11" t="s">
        <v>65</v>
      </c>
      <c r="C13" s="12" t="s">
        <v>56</v>
      </c>
      <c r="D13" s="12" t="s">
        <v>57</v>
      </c>
      <c r="E13" s="12" t="s">
        <v>57</v>
      </c>
      <c r="F13" s="12" t="s">
        <v>59</v>
      </c>
      <c r="G13" s="12"/>
      <c r="H13" s="12" t="s">
        <v>58</v>
      </c>
      <c r="I13" s="12" t="s">
        <v>59</v>
      </c>
      <c r="J13" s="13" t="str">
        <f aca="false">IF(COUNTIF(C13:I13,"A")=1,"OK","CHECK")</f>
        <v>OK</v>
      </c>
    </row>
    <row r="14" customFormat="false" ht="15" hidden="false" customHeight="false" outlineLevel="0" collapsed="false">
      <c r="B14" s="11" t="s">
        <v>66</v>
      </c>
      <c r="C14" s="12" t="s">
        <v>59</v>
      </c>
      <c r="D14" s="12" t="s">
        <v>56</v>
      </c>
      <c r="E14" s="12" t="s">
        <v>57</v>
      </c>
      <c r="F14" s="12" t="s">
        <v>58</v>
      </c>
      <c r="G14" s="12" t="s">
        <v>57</v>
      </c>
      <c r="H14" s="12"/>
      <c r="I14" s="12" t="s">
        <v>59</v>
      </c>
      <c r="J14" s="13" t="str">
        <f aca="false">IF(COUNTIF(C14:I14,"A")=1,"OK","CHECK")</f>
        <v>OK</v>
      </c>
    </row>
    <row r="15" customFormat="false" ht="15" hidden="false" customHeight="false" outlineLevel="0" collapsed="false">
      <c r="B15" s="11" t="s">
        <v>67</v>
      </c>
      <c r="C15" s="12" t="s">
        <v>59</v>
      </c>
      <c r="D15" s="12" t="s">
        <v>56</v>
      </c>
      <c r="E15" s="12" t="s">
        <v>57</v>
      </c>
      <c r="F15" s="12" t="s">
        <v>57</v>
      </c>
      <c r="G15" s="12" t="s">
        <v>57</v>
      </c>
      <c r="H15" s="12" t="s">
        <v>57</v>
      </c>
      <c r="I15" s="12"/>
      <c r="J15" s="13" t="str">
        <f aca="false">IF(COUNTIF(C15:I15,"A")=1,"OK","CHECK")</f>
        <v>OK</v>
      </c>
    </row>
    <row r="17" customFormat="false" ht="15" hidden="false" customHeight="false" outlineLevel="0" collapsed="false">
      <c r="B17" s="3" t="s">
        <v>68</v>
      </c>
      <c r="C17" s="7" t="str">
        <f aca="false">IF(COUNTIF(J7:J15,"CHECK")=0,"Yes — validated","No — fix flagged rows")</f>
        <v>Yes — validated</v>
      </c>
    </row>
  </sheetData>
  <mergeCells count="2">
    <mergeCell ref="B2:J2"/>
    <mergeCell ref="B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2026-09-03T15:14:11Z</dcterms:created>
  <dc:creator>openpyxl</dc:creator>
  <dc:description/>
  <dc:language>en-US</dc:language>
  <cp:lastModifiedBy/>
  <dcterms:modified xsi:type="dcterms:W3CDTF">2026-09-03T15:14:11Z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