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Budget Model" sheetId="3" state="visible" r:id="rId5"/>
    <sheet name="Scenario Comparis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<sst xmlns="http://schemas.openxmlformats.org/spreadsheetml/2006/main" count="107" uniqueCount="84">
  <si>
    <t xml:space="preserve">Interactive Budget Workbook — 24-Month Scenario Model</t>
  </si>
  <si>
    <t xml:space="preserve">This workbook models a 24-month (2026-2027) budget with a live scenario toggle.</t>
  </si>
  <si>
    <t xml:space="preserve">Change the dropdown on the Assumptions tab and every number on Budget Model recalculates —</t>
  </si>
  <si>
    <t xml:space="preserve">no copy-pasting between scenarios.</t>
  </si>
  <si>
    <t xml:space="preserve">How to use it:</t>
  </si>
  <si>
    <t xml:space="preserve">  1. Go to Assumptions and pick a scenario from the dropdown in cell B3.</t>
  </si>
  <si>
    <t xml:space="preserve">  2. Budget Model shows the full 24-month P&amp;L for whichever scenario is selected.</t>
  </si>
  <si>
    <t xml:space="preserve">  3. Scenario Comparison shows all three scenarios side by side at once, independent</t>
  </si>
  <si>
    <t xml:space="preserve">     of the toggle, so you don't have to flip through one at a time to compare them.</t>
  </si>
  <si>
    <t xml:space="preserve">Color legend:</t>
  </si>
  <si>
    <t xml:space="preserve">  Blue text        an input you can change (assumptions, scenario drivers)</t>
  </si>
  <si>
    <t xml:space="preserve">  Yellow fill       the scenario selector, and other key assumptions worth double-checking</t>
  </si>
  <si>
    <t xml:space="preserve">  Black text        a formula on the same sheet</t>
  </si>
  <si>
    <t xml:space="preserve">  Green text        a formula that pulls a value from another sheet</t>
  </si>
  <si>
    <t xml:space="preserve">Sheets:</t>
  </si>
  <si>
    <t xml:space="preserve">  Assumptions           shared assumptions, per-scenario drivers, and the scenario toggle</t>
  </si>
  <si>
    <t xml:space="preserve">  Budget Model           24-month P&amp;L for the currently selected scenario</t>
  </si>
  <si>
    <t xml:space="preserve">  Scenario Comparison    all three scenarios side by side, with a chart</t>
  </si>
  <si>
    <t xml:space="preserve">Budget Assumptions</t>
  </si>
  <si>
    <t xml:space="preserve">Scenario:</t>
  </si>
  <si>
    <t xml:space="preserve">Base</t>
  </si>
  <si>
    <t xml:space="preserve">Shared Assumptions (all scenarios)</t>
  </si>
  <si>
    <t xml:space="preserve">Starting Monthly Revenue ($)</t>
  </si>
  <si>
    <t xml:space="preserve">Starting Headcount</t>
  </si>
  <si>
    <t xml:space="preserve">Fixed Opex per Month ($)</t>
  </si>
  <si>
    <t xml:space="preserve">Scenario Definitions</t>
  </si>
  <si>
    <t xml:space="preserve">Scenario</t>
  </si>
  <si>
    <t xml:space="preserve">Monthly Growth Rate</t>
  </si>
  <si>
    <t xml:space="preserve">Gross Margin %</t>
  </si>
  <si>
    <t xml:space="preserve">Headcount Adds / Qtr</t>
  </si>
  <si>
    <t xml:space="preserve">Cost per Head / Month ($)</t>
  </si>
  <si>
    <t xml:space="preserve">Conservative</t>
  </si>
  <si>
    <t xml:space="preserve">Aggressive</t>
  </si>
  <si>
    <t xml:space="preserve">Active Scenario Drivers (auto-updates from B3)</t>
  </si>
  <si>
    <t xml:space="preserve">Budget Model — Active Scenario</t>
  </si>
  <si>
    <t xml:space="preserve">Active Scenario:</t>
  </si>
  <si>
    <t xml:space="preserve">Month</t>
  </si>
  <si>
    <t xml:space="preserve">Jan-26</t>
  </si>
  <si>
    <t xml:space="preserve">Feb-26</t>
  </si>
  <si>
    <t xml:space="preserve">Mar-26</t>
  </si>
  <si>
    <t xml:space="preserve">Apr-26</t>
  </si>
  <si>
    <t xml:space="preserve">May-26</t>
  </si>
  <si>
    <t xml:space="preserve">Jun-26</t>
  </si>
  <si>
    <t xml:space="preserve">Jul-26</t>
  </si>
  <si>
    <t xml:space="preserve">Aug-26</t>
  </si>
  <si>
    <t xml:space="preserve">Sep-26</t>
  </si>
  <si>
    <t xml:space="preserve">Oct-26</t>
  </si>
  <si>
    <t xml:space="preserve">Nov-26</t>
  </si>
  <si>
    <t xml:space="preserve">Dec-26</t>
  </si>
  <si>
    <t xml:space="preserve">Jan-27</t>
  </si>
  <si>
    <t xml:space="preserve">Feb-27</t>
  </si>
  <si>
    <t xml:space="preserve">Mar-27</t>
  </si>
  <si>
    <t xml:space="preserve">Apr-27</t>
  </si>
  <si>
    <t xml:space="preserve">May-27</t>
  </si>
  <si>
    <t xml:space="preserve">Jun-27</t>
  </si>
  <si>
    <t xml:space="preserve">Jul-27</t>
  </si>
  <si>
    <t xml:space="preserve">Aug-27</t>
  </si>
  <si>
    <t xml:space="preserve">Sep-27</t>
  </si>
  <si>
    <t xml:space="preserve">Oct-27</t>
  </si>
  <si>
    <t xml:space="preserve">Nov-27</t>
  </si>
  <si>
    <t xml:space="preserve">Dec-27</t>
  </si>
  <si>
    <t xml:space="preserve">Month #</t>
  </si>
  <si>
    <t xml:space="preserve">Headcount</t>
  </si>
  <si>
    <t xml:space="preserve">Revenue ($)</t>
  </si>
  <si>
    <t xml:space="preserve">COGS ($)</t>
  </si>
  <si>
    <t xml:space="preserve">Gross Profit ($)</t>
  </si>
  <si>
    <t xml:space="preserve">Opex ($)</t>
  </si>
  <si>
    <t xml:space="preserve">EBITDA ($)</t>
  </si>
  <si>
    <t xml:space="preserve">EBITDA Margin %</t>
  </si>
  <si>
    <t xml:space="preserve">Annual Summary</t>
  </si>
  <si>
    <t xml:space="preserve">Year 1 (2026)</t>
  </si>
  <si>
    <t xml:space="preserve">Year 2 (2027)</t>
  </si>
  <si>
    <t xml:space="preserve">Scenario Comparison — quarterly, all three scenarios at once</t>
  </si>
  <si>
    <t xml:space="preserve">Independent of the Assumptions toggle -- each column pulls its own scenario row directly.</t>
  </si>
  <si>
    <t xml:space="preserve">Quarter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</si>
  <si>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</si>
  <si>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</si>
  <si>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</si>
  <si>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</si>
  <si>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</si>
  <si>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</si>
  <si>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</si>
  <si>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</si>
  <si>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Year 2 Exit (Q8) Summary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</si>
</sst>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&quot;($&quot;#,##0\);\-"/>
    <numFmt numFmtId="166" formatCode="0"/>
    <numFmt numFmtId="167" formatCode="0.0%;\(0.0%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44603B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9"/>
      <color rgb="FF89878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4EBE1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9C2C0"/>
      </left>
      <right style="thin">
        <color rgb="FFB9C2C0"/>
      </right>
      <top style="thin">
        <color rgb="FFB9C2C0"/>
      </top>
      <bottom style="thin">
        <color rgb="FFB9C2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9C2C0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4EBE1"/>
      <rgbColor rgb="FFFFFF99"/>
      <rgbColor rgb="FF99CCFF"/>
      <rgbColor rgb="FFFF99CC"/>
      <rgbColor rgb="FFCC99FF"/>
      <rgbColor rgb="FFFFCC99"/>
      <rgbColor rgb="FF3366FF"/>
      <rgbColor rgb="FF33CCCC"/>
      <rgbColor rgb="FF98B855"/>
      <rgbColor rgb="FFFFCC00"/>
      <rgbColor rgb="FFFF9900"/>
      <rgbColor rgb="FFFF6600"/>
      <rgbColor rgb="FF4A7EBB"/>
      <rgbColor rgb="FF898781"/>
      <rgbColor rgb="FF003366"/>
      <rgbColor rgb="FF339966"/>
      <rgbColor rgb="FF003300"/>
      <rgbColor rgb="FF333300"/>
      <rgbColor rgb="FF993300"/>
      <rgbColor rgb="FF993366"/>
      <rgbColor rgb="FF333399"/>
      <rgbColor rgb="FF4460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Quarterly Revenue by Scenario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'Scenario Comparison'!B4</c:f>
              <c:strCache>
                <c:ptCount val="1"/>
                <c:pt idx="0">
                  <c:v>Conservative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'Scenario Comparison'!$A$5:$A$12</c:f>
              <c:strCache>
                <c:ptCount val="8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</c:strCache>
            </c:strRef>
          </c:cat>
          <c:val>
            <c:numRef>
              <c:f>'Scenario Comparison'!$B$5:$B$12</c:f>
              <c:numCache>
                <c:formatCode>\$#,##0;"($"#,##0\);\-</c:formatCode>
                <c:ptCount val="8"/>
                <c:pt idx="0">
                  <c:v>408040</c:v>
                </c:pt>
                <c:pt idx="1">
                  <c:v>420404.02004</c:v>
                </c:pt>
                <c:pt idx="2">
                  <c:v>433142.682251232</c:v>
                </c:pt>
                <c:pt idx="3">
                  <c:v>446267.338666127</c:v>
                </c:pt>
                <c:pt idx="4">
                  <c:v>459789.685295049</c:v>
                </c:pt>
                <c:pt idx="5">
                  <c:v>473721.772549174</c:v>
                </c:pt>
                <c:pt idx="6">
                  <c:v>488076.015979187</c:v>
                </c:pt>
                <c:pt idx="7">
                  <c:v>502865.207339372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'Scenario Comparison'!C4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'Scenario Comparison'!$A$5:$A$12</c:f>
              <c:strCache>
                <c:ptCount val="8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</c:strCache>
            </c:strRef>
          </c:cat>
          <c:val>
            <c:numRef>
              <c:f>'Scenario Comparison'!$C$5:$C$12</c:f>
              <c:numCache>
                <c:formatCode>\$#,##0;"($"#,##0\);\-</c:formatCode>
                <c:ptCount val="8"/>
                <c:pt idx="0">
                  <c:v>420250</c:v>
                </c:pt>
                <c:pt idx="1">
                  <c:v>452563.28515625</c:v>
                </c:pt>
                <c:pt idx="2">
                  <c:v>487361.159003967</c:v>
                </c:pt>
                <c:pt idx="3">
                  <c:v>524834.663120506</c:v>
                </c:pt>
                <c:pt idx="4">
                  <c:v>565189.528389506</c:v>
                </c:pt>
                <c:pt idx="5">
                  <c:v>608647.304470831</c:v>
                </c:pt>
                <c:pt idx="6">
                  <c:v>655446.576116158</c:v>
                </c:pt>
                <c:pt idx="7">
                  <c:v>705844.273007839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'Scenario Comparison'!D4</c:f>
              <c:strCache>
                <c:ptCount val="1"/>
                <c:pt idx="0">
                  <c:v>Aggressive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'Scenario Comparison'!$A$5:$A$12</c:f>
              <c:strCache>
                <c:ptCount val="8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</c:strCache>
            </c:strRef>
          </c:cat>
          <c:val>
            <c:numRef>
              <c:f>'Scenario Comparison'!$D$5:$D$12</c:f>
              <c:numCache>
                <c:formatCode>\$#,##0;"($"#,##0\);\-</c:formatCode>
                <c:ptCount val="8"/>
                <c:pt idx="0">
                  <c:v>436810</c:v>
                </c:pt>
                <c:pt idx="1">
                  <c:v>498472.77506125</c:v>
                </c:pt>
                <c:pt idx="2">
                  <c:v>568840.245134643</c:v>
                </c:pt>
                <c:pt idx="3">
                  <c:v>649141.218284351</c:v>
                </c:pt>
                <c:pt idx="4">
                  <c:v>740777.968647331</c:v>
                </c:pt>
                <c:pt idx="5">
                  <c:v>845350.723966646</c:v>
                </c:pt>
                <c:pt idx="6">
                  <c:v>964685.609934962</c:v>
                </c:pt>
                <c:pt idx="7">
                  <c:v>1100866.53933274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238391"/>
        <c:axId val="28863918"/>
      </c:lineChart>
      <c:catAx>
        <c:axId val="323839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Quarter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863918"/>
        <c:crosses val="autoZero"/>
        <c:auto val="1"/>
        <c:lblAlgn val="ctr"/>
        <c:lblOffset val="100"/>
        <c:noMultiLvlLbl val="0"/>
      </c:catAx>
      <c:valAx>
        <c:axId val="288639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383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19</xdr:row>
      <xdr:rowOff>175680</xdr:rowOff>
    </xdr:from>
    <xdr:to>
      <xdr:col>5</xdr:col>
      <xdr:colOff>1122840</xdr:colOff>
      <xdr:row>35</xdr:row>
      <xdr:rowOff>7560</xdr:rowOff>
    </xdr:to>
    <xdr:graphicFrame>
      <xdr:nvGraphicFramePr>
        <xdr:cNvPr id="0" name="Chart 1"/>
        <xdr:cNvGraphicFramePr/>
      </xdr:nvGraphicFramePr>
      <xdr:xfrm>
        <a:off x="0" y="38098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3" t="s">
        <v>14</v>
      </c>
    </row>
    <row r="20" customFormat="false" ht="1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5" min="2" style="0" width="20"/>
  </cols>
  <sheetData>
    <row r="1" customFormat="false" ht="16.15" hidden="false" customHeight="false" outlineLevel="0" collapsed="false">
      <c r="A1" s="1" t="s">
        <v>18</v>
      </c>
    </row>
    <row r="3" customFormat="false" ht="15" hidden="false" customHeight="false" outlineLevel="0" collapsed="false">
      <c r="A3" s="3" t="s">
        <v>19</v>
      </c>
      <c r="B3" s="4" t="s">
        <v>20</v>
      </c>
    </row>
    <row r="5" customFormat="false" ht="15" hidden="false" customHeight="false" outlineLevel="0" collapsed="false">
      <c r="A5" s="5" t="s">
        <v>21</v>
      </c>
    </row>
    <row r="6" customFormat="false" ht="15" hidden="false" customHeight="false" outlineLevel="0" collapsed="false">
      <c r="A6" s="2" t="s">
        <v>22</v>
      </c>
      <c r="B6" s="6" t="n">
        <v>400000</v>
      </c>
    </row>
    <row r="7" customFormat="false" ht="15" hidden="false" customHeight="false" outlineLevel="0" collapsed="false">
      <c r="A7" s="2" t="s">
        <v>23</v>
      </c>
      <c r="B7" s="7" t="n">
        <v>18</v>
      </c>
    </row>
    <row r="8" customFormat="false" ht="15" hidden="false" customHeight="false" outlineLevel="0" collapsed="false">
      <c r="A8" s="2" t="s">
        <v>24</v>
      </c>
      <c r="B8" s="6" t="n">
        <v>45000</v>
      </c>
    </row>
    <row r="10" customFormat="false" ht="15" hidden="false" customHeight="false" outlineLevel="0" collapsed="false">
      <c r="A10" s="5" t="s">
        <v>25</v>
      </c>
    </row>
    <row r="11" customFormat="false" ht="26.85" hidden="false" customHeight="false" outlineLevel="0" collapsed="false">
      <c r="A11" s="8" t="s">
        <v>26</v>
      </c>
      <c r="B11" s="8" t="s">
        <v>27</v>
      </c>
      <c r="C11" s="8" t="s">
        <v>28</v>
      </c>
      <c r="D11" s="8" t="s">
        <v>29</v>
      </c>
      <c r="E11" s="8" t="s">
        <v>30</v>
      </c>
    </row>
    <row r="12" customFormat="false" ht="15" hidden="false" customHeight="false" outlineLevel="0" collapsed="false">
      <c r="A12" s="9" t="s">
        <v>31</v>
      </c>
      <c r="B12" s="10" t="n">
        <v>0.01</v>
      </c>
      <c r="C12" s="10" t="n">
        <v>0.62</v>
      </c>
      <c r="D12" s="9" t="n">
        <v>0</v>
      </c>
      <c r="E12" s="6" t="n">
        <v>9500</v>
      </c>
    </row>
    <row r="13" customFormat="false" ht="15" hidden="false" customHeight="false" outlineLevel="0" collapsed="false">
      <c r="A13" s="9" t="s">
        <v>20</v>
      </c>
      <c r="B13" s="10" t="n">
        <v>0.025</v>
      </c>
      <c r="C13" s="10" t="n">
        <v>0.65</v>
      </c>
      <c r="D13" s="9" t="n">
        <v>1</v>
      </c>
      <c r="E13" s="6" t="n">
        <v>9500</v>
      </c>
    </row>
    <row r="14" customFormat="false" ht="15" hidden="false" customHeight="false" outlineLevel="0" collapsed="false">
      <c r="A14" s="9" t="s">
        <v>32</v>
      </c>
      <c r="B14" s="10" t="n">
        <v>0.045</v>
      </c>
      <c r="C14" s="10" t="n">
        <v>0.68</v>
      </c>
      <c r="D14" s="9" t="n">
        <v>3</v>
      </c>
      <c r="E14" s="6" t="n">
        <v>9500</v>
      </c>
    </row>
    <row r="16" customFormat="false" ht="15" hidden="false" customHeight="false" outlineLevel="0" collapsed="false">
      <c r="A16" s="5" t="s">
        <v>33</v>
      </c>
    </row>
    <row r="17" customFormat="false" ht="15" hidden="false" customHeight="false" outlineLevel="0" collapsed="false">
      <c r="A17" s="2" t="s">
        <v>27</v>
      </c>
      <c r="B17" s="11" t="n">
        <f aca="false">INDEX(B12:B14,MATCH($B$3,$A$12:$A$14,0))</f>
        <v>0.025</v>
      </c>
    </row>
    <row r="18" customFormat="false" ht="15" hidden="false" customHeight="false" outlineLevel="0" collapsed="false">
      <c r="A18" s="2" t="s">
        <v>28</v>
      </c>
      <c r="B18" s="11" t="n">
        <f aca="false">INDEX(C12:C14,MATCH($B$3,$A$12:$A$14,0))</f>
        <v>0.65</v>
      </c>
    </row>
    <row r="19" customFormat="false" ht="15" hidden="false" customHeight="false" outlineLevel="0" collapsed="false">
      <c r="A19" s="2" t="s">
        <v>29</v>
      </c>
      <c r="B19" s="12" t="n">
        <f aca="false">INDEX(D12:D14,MATCH($B$3,$A$12:$A$14,0))</f>
        <v>1</v>
      </c>
    </row>
    <row r="20" customFormat="false" ht="15" hidden="false" customHeight="false" outlineLevel="0" collapsed="false">
      <c r="A20" s="2" t="s">
        <v>30</v>
      </c>
      <c r="B20" s="13" t="n">
        <f aca="false">INDEX(E12:E14,MATCH($B$3,$A$12:$A$14,0))</f>
        <v>9500</v>
      </c>
    </row>
  </sheetData>
  <dataValidations count="1">
    <dataValidation allowBlank="false" error="Pick one of: Conservative, Base, Aggressive" errorStyle="stop" operator="between" prompt="Choose a scenario" showDropDown="false" showErrorMessage="false" showInputMessage="false" sqref="B3" type="list">
      <formula1>"Conservative,Base,Aggressive"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5" min="2" style="0" width="11"/>
  </cols>
  <sheetData>
    <row r="1" customFormat="false" ht="16.15" hidden="false" customHeight="false" outlineLevel="0" collapsed="false">
      <c r="A1" s="1" t="s">
        <v>34</v>
      </c>
    </row>
    <row r="2" customFormat="false" ht="15" hidden="false" customHeight="false" outlineLevel="0" collapsed="false">
      <c r="A2" s="3" t="s">
        <v>35</v>
      </c>
      <c r="B2" s="14" t="str">
        <f aca="false">Assumptions!$B$3</f>
        <v>Base</v>
      </c>
    </row>
    <row r="4" customFormat="false" ht="15" hidden="false" customHeight="false" outlineLevel="0" collapsed="false">
      <c r="A4" s="3" t="s">
        <v>36</v>
      </c>
      <c r="B4" s="15" t="s">
        <v>37</v>
      </c>
      <c r="C4" s="15" t="s">
        <v>38</v>
      </c>
      <c r="D4" s="15" t="s">
        <v>39</v>
      </c>
      <c r="E4" s="15" t="s">
        <v>40</v>
      </c>
      <c r="F4" s="15" t="s">
        <v>41</v>
      </c>
      <c r="G4" s="15" t="s">
        <v>42</v>
      </c>
      <c r="H4" s="15" t="s">
        <v>43</v>
      </c>
      <c r="I4" s="15" t="s">
        <v>44</v>
      </c>
      <c r="J4" s="15" t="s">
        <v>45</v>
      </c>
      <c r="K4" s="15" t="s">
        <v>46</v>
      </c>
      <c r="L4" s="15" t="s">
        <v>47</v>
      </c>
      <c r="M4" s="15" t="s">
        <v>48</v>
      </c>
      <c r="N4" s="15" t="s">
        <v>49</v>
      </c>
      <c r="O4" s="15" t="s">
        <v>50</v>
      </c>
      <c r="P4" s="15" t="s">
        <v>51</v>
      </c>
      <c r="Q4" s="15" t="s">
        <v>52</v>
      </c>
      <c r="R4" s="15" t="s">
        <v>53</v>
      </c>
      <c r="S4" s="15" t="s">
        <v>54</v>
      </c>
      <c r="T4" s="15" t="s">
        <v>55</v>
      </c>
      <c r="U4" s="15" t="s">
        <v>56</v>
      </c>
      <c r="V4" s="15" t="s">
        <v>57</v>
      </c>
      <c r="W4" s="15" t="s">
        <v>58</v>
      </c>
      <c r="X4" s="15" t="s">
        <v>59</v>
      </c>
      <c r="Y4" s="15" t="s">
        <v>60</v>
      </c>
    </row>
    <row r="5" customFormat="false" ht="15" hidden="false" customHeight="false" outlineLevel="0" collapsed="false">
      <c r="A5" s="2" t="s">
        <v>61</v>
      </c>
      <c r="B5" s="16" t="n">
        <v>1</v>
      </c>
      <c r="C5" s="16" t="n">
        <v>2</v>
      </c>
      <c r="D5" s="16" t="n">
        <v>3</v>
      </c>
      <c r="E5" s="16" t="n">
        <v>4</v>
      </c>
      <c r="F5" s="16" t="n">
        <v>5</v>
      </c>
      <c r="G5" s="16" t="n">
        <v>6</v>
      </c>
      <c r="H5" s="16" t="n">
        <v>7</v>
      </c>
      <c r="I5" s="16" t="n">
        <v>8</v>
      </c>
      <c r="J5" s="16" t="n">
        <v>9</v>
      </c>
      <c r="K5" s="16" t="n">
        <v>10</v>
      </c>
      <c r="L5" s="16" t="n">
        <v>11</v>
      </c>
      <c r="M5" s="16" t="n">
        <v>12</v>
      </c>
      <c r="N5" s="16" t="n">
        <v>13</v>
      </c>
      <c r="O5" s="16" t="n">
        <v>14</v>
      </c>
      <c r="P5" s="16" t="n">
        <v>15</v>
      </c>
      <c r="Q5" s="16" t="n">
        <v>16</v>
      </c>
      <c r="R5" s="16" t="n">
        <v>17</v>
      </c>
      <c r="S5" s="16" t="n">
        <v>18</v>
      </c>
      <c r="T5" s="16" t="n">
        <v>19</v>
      </c>
      <c r="U5" s="16" t="n">
        <v>20</v>
      </c>
      <c r="V5" s="16" t="n">
        <v>21</v>
      </c>
      <c r="W5" s="16" t="n">
        <v>22</v>
      </c>
      <c r="X5" s="16" t="n">
        <v>23</v>
      </c>
      <c r="Y5" s="16" t="n">
        <v>24</v>
      </c>
    </row>
    <row r="6" customFormat="false" ht="15" hidden="false" customHeight="false" outlineLevel="0" collapsed="false">
      <c r="A6" s="2" t="s">
        <v>62</v>
      </c>
      <c r="B6" s="17" t="n">
        <f aca="false">Assumptions!$B$7+Assumptions!$B$19*(ROUNDUP(B$5/3,0)-1)</f>
        <v>18</v>
      </c>
      <c r="C6" s="17" t="n">
        <f aca="false">Assumptions!$B$7+Assumptions!$B$19*(ROUNDUP(C$5/3,0)-1)</f>
        <v>18</v>
      </c>
      <c r="D6" s="17" t="n">
        <f aca="false">Assumptions!$B$7+Assumptions!$B$19*(ROUNDUP(D$5/3,0)-1)</f>
        <v>18</v>
      </c>
      <c r="E6" s="17" t="n">
        <f aca="false">Assumptions!$B$7+Assumptions!$B$19*(ROUNDUP(E$5/3,0)-1)</f>
        <v>19</v>
      </c>
      <c r="F6" s="17" t="n">
        <f aca="false">Assumptions!$B$7+Assumptions!$B$19*(ROUNDUP(F$5/3,0)-1)</f>
        <v>19</v>
      </c>
      <c r="G6" s="17" t="n">
        <f aca="false">Assumptions!$B$7+Assumptions!$B$19*(ROUNDUP(G$5/3,0)-1)</f>
        <v>19</v>
      </c>
      <c r="H6" s="17" t="n">
        <f aca="false">Assumptions!$B$7+Assumptions!$B$19*(ROUNDUP(H$5/3,0)-1)</f>
        <v>20</v>
      </c>
      <c r="I6" s="17" t="n">
        <f aca="false">Assumptions!$B$7+Assumptions!$B$19*(ROUNDUP(I$5/3,0)-1)</f>
        <v>20</v>
      </c>
      <c r="J6" s="17" t="n">
        <f aca="false">Assumptions!$B$7+Assumptions!$B$19*(ROUNDUP(J$5/3,0)-1)</f>
        <v>20</v>
      </c>
      <c r="K6" s="17" t="n">
        <f aca="false">Assumptions!$B$7+Assumptions!$B$19*(ROUNDUP(K$5/3,0)-1)</f>
        <v>21</v>
      </c>
      <c r="L6" s="17" t="n">
        <f aca="false">Assumptions!$B$7+Assumptions!$B$19*(ROUNDUP(L$5/3,0)-1)</f>
        <v>21</v>
      </c>
      <c r="M6" s="17" t="n">
        <f aca="false">Assumptions!$B$7+Assumptions!$B$19*(ROUNDUP(M$5/3,0)-1)</f>
        <v>21</v>
      </c>
      <c r="N6" s="17" t="n">
        <f aca="false">Assumptions!$B$7+Assumptions!$B$19*(ROUNDUP(N$5/3,0)-1)</f>
        <v>22</v>
      </c>
      <c r="O6" s="17" t="n">
        <f aca="false">Assumptions!$B$7+Assumptions!$B$19*(ROUNDUP(O$5/3,0)-1)</f>
        <v>22</v>
      </c>
      <c r="P6" s="17" t="n">
        <f aca="false">Assumptions!$B$7+Assumptions!$B$19*(ROUNDUP(P$5/3,0)-1)</f>
        <v>22</v>
      </c>
      <c r="Q6" s="17" t="n">
        <f aca="false">Assumptions!$B$7+Assumptions!$B$19*(ROUNDUP(Q$5/3,0)-1)</f>
        <v>23</v>
      </c>
      <c r="R6" s="17" t="n">
        <f aca="false">Assumptions!$B$7+Assumptions!$B$19*(ROUNDUP(R$5/3,0)-1)</f>
        <v>23</v>
      </c>
      <c r="S6" s="17" t="n">
        <f aca="false">Assumptions!$B$7+Assumptions!$B$19*(ROUNDUP(S$5/3,0)-1)</f>
        <v>23</v>
      </c>
      <c r="T6" s="17" t="n">
        <f aca="false">Assumptions!$B$7+Assumptions!$B$19*(ROUNDUP(T$5/3,0)-1)</f>
        <v>24</v>
      </c>
      <c r="U6" s="17" t="n">
        <f aca="false">Assumptions!$B$7+Assumptions!$B$19*(ROUNDUP(U$5/3,0)-1)</f>
        <v>24</v>
      </c>
      <c r="V6" s="17" t="n">
        <f aca="false">Assumptions!$B$7+Assumptions!$B$19*(ROUNDUP(V$5/3,0)-1)</f>
        <v>24</v>
      </c>
      <c r="W6" s="17" t="n">
        <f aca="false">Assumptions!$B$7+Assumptions!$B$19*(ROUNDUP(W$5/3,0)-1)</f>
        <v>25</v>
      </c>
      <c r="X6" s="17" t="n">
        <f aca="false">Assumptions!$B$7+Assumptions!$B$19*(ROUNDUP(X$5/3,0)-1)</f>
        <v>25</v>
      </c>
      <c r="Y6" s="17" t="n">
        <f aca="false">Assumptions!$B$7+Assumptions!$B$19*(ROUNDUP(Y$5/3,0)-1)</f>
        <v>25</v>
      </c>
    </row>
    <row r="7" customFormat="false" ht="15" hidden="false" customHeight="false" outlineLevel="0" collapsed="false">
      <c r="A7" s="3" t="s">
        <v>63</v>
      </c>
      <c r="B7" s="18" t="n">
        <f aca="false">Assumptions!$B$6</f>
        <v>400000</v>
      </c>
      <c r="C7" s="18" t="n">
        <f aca="false">B$7*(1+Assumptions!$B$17)</f>
        <v>410000</v>
      </c>
      <c r="D7" s="18" t="n">
        <f aca="false">C$7*(1+Assumptions!$B$17)</f>
        <v>420250</v>
      </c>
      <c r="E7" s="18" t="n">
        <f aca="false">D$7*(1+Assumptions!$B$17)</f>
        <v>430756.25</v>
      </c>
      <c r="F7" s="18" t="n">
        <f aca="false">E$7*(1+Assumptions!$B$17)</f>
        <v>441525.15625</v>
      </c>
      <c r="G7" s="18" t="n">
        <f aca="false">F$7*(1+Assumptions!$B$17)</f>
        <v>452563.28515625</v>
      </c>
      <c r="H7" s="18" t="n">
        <f aca="false">G$7*(1+Assumptions!$B$17)</f>
        <v>463877.367285156</v>
      </c>
      <c r="I7" s="18" t="n">
        <f aca="false">H$7*(1+Assumptions!$B$17)</f>
        <v>475474.301467285</v>
      </c>
      <c r="J7" s="18" t="n">
        <f aca="false">I$7*(1+Assumptions!$B$17)</f>
        <v>487361.159003967</v>
      </c>
      <c r="K7" s="18" t="n">
        <f aca="false">J$7*(1+Assumptions!$B$17)</f>
        <v>499545.187979066</v>
      </c>
      <c r="L7" s="18" t="n">
        <f aca="false">K$7*(1+Assumptions!$B$17)</f>
        <v>512033.817678543</v>
      </c>
      <c r="M7" s="18" t="n">
        <f aca="false">L$7*(1+Assumptions!$B$17)</f>
        <v>524834.663120506</v>
      </c>
      <c r="N7" s="18" t="n">
        <f aca="false">M$7*(1+Assumptions!$B$17)</f>
        <v>537955.529698519</v>
      </c>
      <c r="O7" s="18" t="n">
        <f aca="false">N$7*(1+Assumptions!$B$17)</f>
        <v>551404.417940982</v>
      </c>
      <c r="P7" s="18" t="n">
        <f aca="false">O$7*(1+Assumptions!$B$17)</f>
        <v>565189.528389506</v>
      </c>
      <c r="Q7" s="18" t="n">
        <f aca="false">P$7*(1+Assumptions!$B$17)</f>
        <v>579319.266599244</v>
      </c>
      <c r="R7" s="18" t="n">
        <f aca="false">Q$7*(1+Assumptions!$B$17)</f>
        <v>593802.248264225</v>
      </c>
      <c r="S7" s="18" t="n">
        <f aca="false">R$7*(1+Assumptions!$B$17)</f>
        <v>608647.30447083</v>
      </c>
      <c r="T7" s="18" t="n">
        <f aca="false">S$7*(1+Assumptions!$B$17)</f>
        <v>623863.487082601</v>
      </c>
      <c r="U7" s="18" t="n">
        <f aca="false">T$7*(1+Assumptions!$B$17)</f>
        <v>639460.074259666</v>
      </c>
      <c r="V7" s="18" t="n">
        <f aca="false">U$7*(1+Assumptions!$B$17)</f>
        <v>655446.576116157</v>
      </c>
      <c r="W7" s="18" t="n">
        <f aca="false">V$7*(1+Assumptions!$B$17)</f>
        <v>671832.740519061</v>
      </c>
      <c r="X7" s="18" t="n">
        <f aca="false">W$7*(1+Assumptions!$B$17)</f>
        <v>688628.559032038</v>
      </c>
      <c r="Y7" s="18" t="n">
        <f aca="false">X$7*(1+Assumptions!$B$17)</f>
        <v>705844.273007839</v>
      </c>
    </row>
    <row r="8" customFormat="false" ht="15" hidden="false" customHeight="false" outlineLevel="0" collapsed="false">
      <c r="A8" s="2" t="s">
        <v>64</v>
      </c>
      <c r="B8" s="18" t="n">
        <f aca="false">B$7*(1-Assumptions!$B$18)</f>
        <v>140000</v>
      </c>
      <c r="C8" s="18" t="n">
        <f aca="false">C$7*(1-Assumptions!$B$18)</f>
        <v>143500</v>
      </c>
      <c r="D8" s="18" t="n">
        <f aca="false">D$7*(1-Assumptions!$B$18)</f>
        <v>147087.5</v>
      </c>
      <c r="E8" s="18" t="n">
        <f aca="false">E$7*(1-Assumptions!$B$18)</f>
        <v>150764.6875</v>
      </c>
      <c r="F8" s="18" t="n">
        <f aca="false">F$7*(1-Assumptions!$B$18)</f>
        <v>154533.8046875</v>
      </c>
      <c r="G8" s="18" t="n">
        <f aca="false">G$7*(1-Assumptions!$B$18)</f>
        <v>158397.149804687</v>
      </c>
      <c r="H8" s="18" t="n">
        <f aca="false">H$7*(1-Assumptions!$B$18)</f>
        <v>162357.078549805</v>
      </c>
      <c r="I8" s="18" t="n">
        <f aca="false">I$7*(1-Assumptions!$B$18)</f>
        <v>166416.00551355</v>
      </c>
      <c r="J8" s="18" t="n">
        <f aca="false">J$7*(1-Assumptions!$B$18)</f>
        <v>170576.405651388</v>
      </c>
      <c r="K8" s="18" t="n">
        <f aca="false">K$7*(1-Assumptions!$B$18)</f>
        <v>174840.815792673</v>
      </c>
      <c r="L8" s="18" t="n">
        <f aca="false">L$7*(1-Assumptions!$B$18)</f>
        <v>179211.83618749</v>
      </c>
      <c r="M8" s="18" t="n">
        <f aca="false">M$7*(1-Assumptions!$B$18)</f>
        <v>183692.132092177</v>
      </c>
      <c r="N8" s="18" t="n">
        <f aca="false">N$7*(1-Assumptions!$B$18)</f>
        <v>188284.435394482</v>
      </c>
      <c r="O8" s="18" t="n">
        <f aca="false">O$7*(1-Assumptions!$B$18)</f>
        <v>192991.546279344</v>
      </c>
      <c r="P8" s="18" t="n">
        <f aca="false">P$7*(1-Assumptions!$B$18)</f>
        <v>197816.334936327</v>
      </c>
      <c r="Q8" s="18" t="n">
        <f aca="false">Q$7*(1-Assumptions!$B$18)</f>
        <v>202761.743309735</v>
      </c>
      <c r="R8" s="18" t="n">
        <f aca="false">R$7*(1-Assumptions!$B$18)</f>
        <v>207830.786892479</v>
      </c>
      <c r="S8" s="18" t="n">
        <f aca="false">S$7*(1-Assumptions!$B$18)</f>
        <v>213026.556564791</v>
      </c>
      <c r="T8" s="18" t="n">
        <f aca="false">T$7*(1-Assumptions!$B$18)</f>
        <v>218352.22047891</v>
      </c>
      <c r="U8" s="18" t="n">
        <f aca="false">U$7*(1-Assumptions!$B$18)</f>
        <v>223811.025990883</v>
      </c>
      <c r="V8" s="18" t="n">
        <f aca="false">V$7*(1-Assumptions!$B$18)</f>
        <v>229406.301640655</v>
      </c>
      <c r="W8" s="18" t="n">
        <f aca="false">W$7*(1-Assumptions!$B$18)</f>
        <v>235141.459181671</v>
      </c>
      <c r="X8" s="18" t="n">
        <f aca="false">X$7*(1-Assumptions!$B$18)</f>
        <v>241019.995661213</v>
      </c>
      <c r="Y8" s="18" t="n">
        <f aca="false">Y$7*(1-Assumptions!$B$18)</f>
        <v>247045.495552744</v>
      </c>
    </row>
    <row r="9" customFormat="false" ht="15" hidden="false" customHeight="false" outlineLevel="0" collapsed="false">
      <c r="A9" s="2" t="s">
        <v>65</v>
      </c>
      <c r="B9" s="19" t="n">
        <f aca="false">B$7-B$8</f>
        <v>260000</v>
      </c>
      <c r="C9" s="19" t="n">
        <f aca="false">C$7-C$8</f>
        <v>266500</v>
      </c>
      <c r="D9" s="19" t="n">
        <f aca="false">D$7-D$8</f>
        <v>273162.5</v>
      </c>
      <c r="E9" s="19" t="n">
        <f aca="false">E$7-E$8</f>
        <v>279991.5625</v>
      </c>
      <c r="F9" s="19" t="n">
        <f aca="false">F$7-F$8</f>
        <v>286991.3515625</v>
      </c>
      <c r="G9" s="19" t="n">
        <f aca="false">G$7-G$8</f>
        <v>294166.135351562</v>
      </c>
      <c r="H9" s="19" t="n">
        <f aca="false">H$7-H$8</f>
        <v>301520.288735351</v>
      </c>
      <c r="I9" s="19" t="n">
        <f aca="false">I$7-I$8</f>
        <v>309058.295953735</v>
      </c>
      <c r="J9" s="19" t="n">
        <f aca="false">J$7-J$8</f>
        <v>316784.753352579</v>
      </c>
      <c r="K9" s="19" t="n">
        <f aca="false">K$7-K$8</f>
        <v>324704.372186393</v>
      </c>
      <c r="L9" s="19" t="n">
        <f aca="false">L$7-L$8</f>
        <v>332821.981491053</v>
      </c>
      <c r="M9" s="19" t="n">
        <f aca="false">M$7-M$8</f>
        <v>341142.531028329</v>
      </c>
      <c r="N9" s="19" t="n">
        <f aca="false">N$7-N$8</f>
        <v>349671.094304037</v>
      </c>
      <c r="O9" s="19" t="n">
        <f aca="false">O$7-O$8</f>
        <v>358412.871661638</v>
      </c>
      <c r="P9" s="19" t="n">
        <f aca="false">P$7-P$8</f>
        <v>367373.193453179</v>
      </c>
      <c r="Q9" s="19" t="n">
        <f aca="false">Q$7-Q$8</f>
        <v>376557.523289508</v>
      </c>
      <c r="R9" s="19" t="n">
        <f aca="false">R$7-R$8</f>
        <v>385971.461371746</v>
      </c>
      <c r="S9" s="19" t="n">
        <f aca="false">S$7-S$8</f>
        <v>395620.74790604</v>
      </c>
      <c r="T9" s="19" t="n">
        <f aca="false">T$7-T$8</f>
        <v>405511.266603691</v>
      </c>
      <c r="U9" s="19" t="n">
        <f aca="false">U$7-U$8</f>
        <v>415649.048268783</v>
      </c>
      <c r="V9" s="19" t="n">
        <f aca="false">V$7-V$8</f>
        <v>426040.274475502</v>
      </c>
      <c r="W9" s="19" t="n">
        <f aca="false">W$7-W$8</f>
        <v>436691.28133739</v>
      </c>
      <c r="X9" s="19" t="n">
        <f aca="false">X$7-X$8</f>
        <v>447608.563370825</v>
      </c>
      <c r="Y9" s="19" t="n">
        <f aca="false">Y$7-Y$8</f>
        <v>458798.777455095</v>
      </c>
    </row>
    <row r="10" customFormat="false" ht="15" hidden="false" customHeight="false" outlineLevel="0" collapsed="false">
      <c r="A10" s="2" t="s">
        <v>66</v>
      </c>
      <c r="B10" s="18" t="n">
        <f aca="false">Assumptions!$B$8+B$6*Assumptions!$B$20</f>
        <v>216000</v>
      </c>
      <c r="C10" s="18" t="n">
        <f aca="false">Assumptions!$B$8+C$6*Assumptions!$B$20</f>
        <v>216000</v>
      </c>
      <c r="D10" s="18" t="n">
        <f aca="false">Assumptions!$B$8+D$6*Assumptions!$B$20</f>
        <v>216000</v>
      </c>
      <c r="E10" s="18" t="n">
        <f aca="false">Assumptions!$B$8+E$6*Assumptions!$B$20</f>
        <v>225500</v>
      </c>
      <c r="F10" s="18" t="n">
        <f aca="false">Assumptions!$B$8+F$6*Assumptions!$B$20</f>
        <v>225500</v>
      </c>
      <c r="G10" s="18" t="n">
        <f aca="false">Assumptions!$B$8+G$6*Assumptions!$B$20</f>
        <v>225500</v>
      </c>
      <c r="H10" s="18" t="n">
        <f aca="false">Assumptions!$B$8+H$6*Assumptions!$B$20</f>
        <v>235000</v>
      </c>
      <c r="I10" s="18" t="n">
        <f aca="false">Assumptions!$B$8+I$6*Assumptions!$B$20</f>
        <v>235000</v>
      </c>
      <c r="J10" s="18" t="n">
        <f aca="false">Assumptions!$B$8+J$6*Assumptions!$B$20</f>
        <v>235000</v>
      </c>
      <c r="K10" s="18" t="n">
        <f aca="false">Assumptions!$B$8+K$6*Assumptions!$B$20</f>
        <v>244500</v>
      </c>
      <c r="L10" s="18" t="n">
        <f aca="false">Assumptions!$B$8+L$6*Assumptions!$B$20</f>
        <v>244500</v>
      </c>
      <c r="M10" s="18" t="n">
        <f aca="false">Assumptions!$B$8+M$6*Assumptions!$B$20</f>
        <v>244500</v>
      </c>
      <c r="N10" s="18" t="n">
        <f aca="false">Assumptions!$B$8+N$6*Assumptions!$B$20</f>
        <v>254000</v>
      </c>
      <c r="O10" s="18" t="n">
        <f aca="false">Assumptions!$B$8+O$6*Assumptions!$B$20</f>
        <v>254000</v>
      </c>
      <c r="P10" s="18" t="n">
        <f aca="false">Assumptions!$B$8+P$6*Assumptions!$B$20</f>
        <v>254000</v>
      </c>
      <c r="Q10" s="18" t="n">
        <f aca="false">Assumptions!$B$8+Q$6*Assumptions!$B$20</f>
        <v>263500</v>
      </c>
      <c r="R10" s="18" t="n">
        <f aca="false">Assumptions!$B$8+R$6*Assumptions!$B$20</f>
        <v>263500</v>
      </c>
      <c r="S10" s="18" t="n">
        <f aca="false">Assumptions!$B$8+S$6*Assumptions!$B$20</f>
        <v>263500</v>
      </c>
      <c r="T10" s="18" t="n">
        <f aca="false">Assumptions!$B$8+T$6*Assumptions!$B$20</f>
        <v>273000</v>
      </c>
      <c r="U10" s="18" t="n">
        <f aca="false">Assumptions!$B$8+U$6*Assumptions!$B$20</f>
        <v>273000</v>
      </c>
      <c r="V10" s="18" t="n">
        <f aca="false">Assumptions!$B$8+V$6*Assumptions!$B$20</f>
        <v>273000</v>
      </c>
      <c r="W10" s="18" t="n">
        <f aca="false">Assumptions!$B$8+W$6*Assumptions!$B$20</f>
        <v>282500</v>
      </c>
      <c r="X10" s="18" t="n">
        <f aca="false">Assumptions!$B$8+X$6*Assumptions!$B$20</f>
        <v>282500</v>
      </c>
      <c r="Y10" s="18" t="n">
        <f aca="false">Assumptions!$B$8+Y$6*Assumptions!$B$20</f>
        <v>282500</v>
      </c>
    </row>
    <row r="11" customFormat="false" ht="15" hidden="false" customHeight="false" outlineLevel="0" collapsed="false">
      <c r="A11" s="3" t="s">
        <v>67</v>
      </c>
      <c r="B11" s="20" t="n">
        <f aca="false">B$9-B$10</f>
        <v>44000</v>
      </c>
      <c r="C11" s="20" t="n">
        <f aca="false">C$9-C$10</f>
        <v>50500</v>
      </c>
      <c r="D11" s="20" t="n">
        <f aca="false">D$9-D$10</f>
        <v>57162.4999999999</v>
      </c>
      <c r="E11" s="20" t="n">
        <f aca="false">E$9-E$10</f>
        <v>54491.5624999999</v>
      </c>
      <c r="F11" s="20" t="n">
        <f aca="false">F$9-F$10</f>
        <v>61491.3515624999</v>
      </c>
      <c r="G11" s="20" t="n">
        <f aca="false">G$9-G$10</f>
        <v>68666.1353515623</v>
      </c>
      <c r="H11" s="20" t="n">
        <f aca="false">H$9-H$10</f>
        <v>66520.2887353514</v>
      </c>
      <c r="I11" s="20" t="n">
        <f aca="false">I$9-I$10</f>
        <v>74058.2959537351</v>
      </c>
      <c r="J11" s="20" t="n">
        <f aca="false">J$9-J$10</f>
        <v>81784.7533525785</v>
      </c>
      <c r="K11" s="20" t="n">
        <f aca="false">K$9-K$10</f>
        <v>80204.372186393</v>
      </c>
      <c r="L11" s="20" t="n">
        <f aca="false">L$9-L$10</f>
        <v>88321.9814910527</v>
      </c>
      <c r="M11" s="20" t="n">
        <f aca="false">M$9-M$10</f>
        <v>96642.531028329</v>
      </c>
      <c r="N11" s="20" t="n">
        <f aca="false">N$9-N$10</f>
        <v>95671.0943040372</v>
      </c>
      <c r="O11" s="20" t="n">
        <f aca="false">O$9-O$10</f>
        <v>104412.871661638</v>
      </c>
      <c r="P11" s="20" t="n">
        <f aca="false">P$9-P$10</f>
        <v>113373.193453179</v>
      </c>
      <c r="Q11" s="20" t="n">
        <f aca="false">Q$9-Q$10</f>
        <v>113057.523289508</v>
      </c>
      <c r="R11" s="20" t="n">
        <f aca="false">R$9-R$10</f>
        <v>122471.461371746</v>
      </c>
      <c r="S11" s="20" t="n">
        <f aca="false">S$9-S$10</f>
        <v>132120.74790604</v>
      </c>
      <c r="T11" s="20" t="n">
        <f aca="false">T$9-T$10</f>
        <v>132511.266603691</v>
      </c>
      <c r="U11" s="20" t="n">
        <f aca="false">U$9-U$10</f>
        <v>142649.048268783</v>
      </c>
      <c r="V11" s="20" t="n">
        <f aca="false">V$9-V$10</f>
        <v>153040.274475502</v>
      </c>
      <c r="W11" s="20" t="n">
        <f aca="false">W$9-W$10</f>
        <v>154191.28133739</v>
      </c>
      <c r="X11" s="20" t="n">
        <f aca="false">X$9-X$10</f>
        <v>165108.563370825</v>
      </c>
      <c r="Y11" s="20" t="n">
        <f aca="false">Y$9-Y$10</f>
        <v>176298.777455095</v>
      </c>
    </row>
    <row r="12" customFormat="false" ht="15" hidden="false" customHeight="false" outlineLevel="0" collapsed="false">
      <c r="A12" s="2" t="s">
        <v>68</v>
      </c>
      <c r="B12" s="21" t="n">
        <f aca="false">IFERROR(B$11/B$7,0)</f>
        <v>0.11</v>
      </c>
      <c r="C12" s="21" t="n">
        <f aca="false">IFERROR(C$11/C$7,0)</f>
        <v>0.123170731707317</v>
      </c>
      <c r="D12" s="21" t="n">
        <f aca="false">IFERROR(D$11/D$7,0)</f>
        <v>0.136020226055919</v>
      </c>
      <c r="E12" s="21" t="n">
        <f aca="false">IFERROR(E$11/E$7,0)</f>
        <v>0.126502082093991</v>
      </c>
      <c r="F12" s="21" t="n">
        <f aca="false">IFERROR(F$11/F$7,0)</f>
        <v>0.139270323994138</v>
      </c>
      <c r="G12" s="21" t="n">
        <f aca="false">IFERROR(G$11/G$7,0)</f>
        <v>0.151727145360134</v>
      </c>
      <c r="H12" s="21" t="n">
        <f aca="false">IFERROR(H$11/H$7,0)</f>
        <v>0.143400591248203</v>
      </c>
      <c r="I12" s="21" t="n">
        <f aca="false">IFERROR(I$11/I$7,0)</f>
        <v>0.155756674388491</v>
      </c>
      <c r="J12" s="21" t="n">
        <f aca="false">IFERROR(J$11/J$7,0)</f>
        <v>0.167811389647308</v>
      </c>
      <c r="K12" s="21" t="n">
        <f aca="false">IFERROR(K$11/K$7,0)</f>
        <v>0.160554788868778</v>
      </c>
      <c r="L12" s="21" t="n">
        <f aca="false">IFERROR(L$11/L$7,0)</f>
        <v>0.172492476945149</v>
      </c>
      <c r="M12" s="21" t="n">
        <f aca="false">IFERROR(M$11/M$7,0)</f>
        <v>0.184139001897706</v>
      </c>
      <c r="N12" s="21" t="n">
        <f aca="false">IFERROR(N$11/N$7,0)</f>
        <v>0.177842012996229</v>
      </c>
      <c r="O12" s="21" t="n">
        <f aca="false">IFERROR(O$11/O$7,0)</f>
        <v>0.189358061459735</v>
      </c>
      <c r="P12" s="21" t="n">
        <f aca="false">IFERROR(P$11/P$7,0)</f>
        <v>0.200593230692425</v>
      </c>
      <c r="Q12" s="21" t="n">
        <f aca="false">IFERROR(Q$11/Q$7,0)</f>
        <v>0.195155814432318</v>
      </c>
      <c r="R12" s="21" t="n">
        <f aca="false">IFERROR(R$11/R$7,0)</f>
        <v>0.20624957505592</v>
      </c>
      <c r="S12" s="21" t="n">
        <f aca="false">IFERROR(S$11/S$7,0)</f>
        <v>0.217072756152117</v>
      </c>
      <c r="T12" s="21" t="n">
        <f aca="false">IFERROR(T$11/T$7,0)</f>
        <v>0.212404266874727</v>
      </c>
      <c r="U12" s="21" t="n">
        <f aca="false">IFERROR(U$11/U$7,0)</f>
        <v>0.223077333536319</v>
      </c>
      <c r="V12" s="21" t="n">
        <f aca="false">IFERROR(V$11/V$7,0)</f>
        <v>0.233490081498848</v>
      </c>
      <c r="W12" s="21" t="n">
        <f aca="false">IFERROR(W$11/W$7,0)</f>
        <v>0.229508435713122</v>
      </c>
      <c r="X12" s="21" t="n">
        <f aca="false">IFERROR(X$11/X$7,0)</f>
        <v>0.239764327524998</v>
      </c>
      <c r="Y12" s="21" t="n">
        <f aca="false">IFERROR(Y$11/Y$7,0)</f>
        <v>0.249770075634144</v>
      </c>
    </row>
    <row r="14" customFormat="false" ht="15" hidden="false" customHeight="false" outlineLevel="0" collapsed="false">
      <c r="A14" s="5" t="s">
        <v>69</v>
      </c>
    </row>
    <row r="15" customFormat="false" ht="15" hidden="false" customHeight="false" outlineLevel="0" collapsed="false">
      <c r="B15" s="15" t="s">
        <v>70</v>
      </c>
      <c r="C15" s="15" t="s">
        <v>71</v>
      </c>
    </row>
    <row r="16" customFormat="false" ht="15" hidden="false" customHeight="false" outlineLevel="0" collapsed="false">
      <c r="A16" s="2" t="s">
        <v>63</v>
      </c>
      <c r="B16" s="20" t="n">
        <f aca="false">SUM(B7:M7)</f>
        <v>5518221.18794077</v>
      </c>
      <c r="C16" s="20" t="n">
        <f aca="false">SUM(N7:Y7)</f>
        <v>7421394.00538067</v>
      </c>
    </row>
    <row r="17" customFormat="false" ht="15" hidden="false" customHeight="false" outlineLevel="0" collapsed="false">
      <c r="A17" s="2" t="s">
        <v>67</v>
      </c>
      <c r="B17" s="20" t="n">
        <f aca="false">SUM(B11:M11)</f>
        <v>823843.772161502</v>
      </c>
      <c r="C17" s="20" t="n">
        <f aca="false">SUM(N11:Y11)</f>
        <v>1604906.10349743</v>
      </c>
    </row>
    <row r="18" customFormat="false" ht="15" hidden="false" customHeight="false" outlineLevel="0" collapsed="false">
      <c r="A18" s="2" t="s">
        <v>68</v>
      </c>
      <c r="B18" s="22" t="n">
        <f aca="false">IFERROR(B17/B16,0)</f>
        <v>0.149295170328055</v>
      </c>
      <c r="C18" s="22" t="n">
        <f aca="false">IFERROR(C17/C16,0)</f>
        <v>0.216253995183902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0" min="2" style="0" width="16"/>
  </cols>
  <sheetData>
    <row r="1" customFormat="false" ht="16.15" hidden="false" customHeight="false" outlineLevel="0" collapsed="false">
      <c r="A1" s="1" t="s">
        <v>72</v>
      </c>
    </row>
    <row r="2" customFormat="false" ht="15" hidden="false" customHeight="false" outlineLevel="0" collapsed="false">
      <c r="A2" s="23" t="s">
        <v>73</v>
      </c>
    </row>
    <row r="3" customFormat="false" ht="15" hidden="false" customHeight="false" outlineLevel="0" collapsed="false">
      <c r="B3" s="3"/>
      <c r="C3" s="3" t="s">
        <v>63</v>
      </c>
      <c r="D3" s="3"/>
      <c r="E3" s="3"/>
      <c r="F3" s="3" t="s">
        <v>67</v>
      </c>
      <c r="G3" s="3"/>
    </row>
    <row r="4" customFormat="false" ht="15" hidden="false" customHeight="false" outlineLevel="0" collapsed="false">
      <c r="A4" s="3" t="s">
        <v>74</v>
      </c>
      <c r="B4" s="24" t="s">
        <v>31</v>
      </c>
      <c r="C4" s="24" t="s">
        <v>20</v>
      </c>
      <c r="D4" s="24" t="s">
        <v>32</v>
      </c>
      <c r="E4" s="24" t="s">
        <v>31</v>
      </c>
      <c r="F4" s="24" t="s">
        <v>20</v>
      </c>
      <c r="G4" s="24" t="s">
        <v>32</v>
      </c>
    </row>
    <row r="5" customFormat="false" ht="15" hidden="false" customHeight="false" outlineLevel="0" collapsed="false">
      <c r="A5" s="2" t="s">
        <v>75</v>
      </c>
      <c r="B5" s="18" t="n">
        <f aca="false">Assumptions!$B$6*(1+Assumptions!$B$12)^(3-1)</f>
        <v>408040</v>
      </c>
      <c r="C5" s="18" t="n">
        <f aca="false">Assumptions!$B$6*(1+Assumptions!$B$13)^(3-1)</f>
        <v>420250</v>
      </c>
      <c r="D5" s="18" t="n">
        <f aca="false">Assumptions!$B$6*(1+Assumptions!$B$14)^(3-1)</f>
        <v>436810</v>
      </c>
      <c r="E5" s="18" t="n">
        <f aca="false">B5*Assumptions!$C$12-(Assumptions!$B$8+(Assumptions!$B$7+Assumptions!$D$12*(1-1))*Assumptions!$E$12)</f>
        <v>36984.8</v>
      </c>
      <c r="F5" s="18" t="n">
        <f aca="false">C5*Assumptions!$C$13-(Assumptions!$B$8+(Assumptions!$B$7+Assumptions!$D$13*(1-1))*Assumptions!$E$13)</f>
        <v>57162.5</v>
      </c>
      <c r="G5" s="18" t="n">
        <f aca="false">D5*Assumptions!$C$14-(Assumptions!$B$8+(Assumptions!$B$7+Assumptions!$D$14*(1-1))*Assumptions!$E$14)</f>
        <v>81030.8</v>
      </c>
    </row>
    <row r="6" customFormat="false" ht="15" hidden="false" customHeight="false" outlineLevel="0" collapsed="false">
      <c r="A6" s="2" t="s">
        <v>76</v>
      </c>
      <c r="B6" s="18" t="n">
        <f aca="false">Assumptions!$B$6*(1+Assumptions!$B$12)^(6-1)</f>
        <v>420404.02004</v>
      </c>
      <c r="C6" s="18" t="n">
        <f aca="false">Assumptions!$B$6*(1+Assumptions!$B$13)^(6-1)</f>
        <v>452563.28515625</v>
      </c>
      <c r="D6" s="18" t="n">
        <f aca="false">Assumptions!$B$6*(1+Assumptions!$B$14)^(6-1)</f>
        <v>498472.77506125</v>
      </c>
      <c r="E6" s="18" t="n">
        <f aca="false">B6*Assumptions!$C$12-(Assumptions!$B$8+(Assumptions!$B$7+Assumptions!$D$12*(2-1))*Assumptions!$E$12)</f>
        <v>44650.4924248</v>
      </c>
      <c r="F6" s="18" t="n">
        <f aca="false">C6*Assumptions!$C$13-(Assumptions!$B$8+(Assumptions!$B$7+Assumptions!$D$13*(2-1))*Assumptions!$E$13)</f>
        <v>68666.1353515624</v>
      </c>
      <c r="G6" s="18" t="n">
        <f aca="false">D6*Assumptions!$C$14-(Assumptions!$B$8+(Assumptions!$B$7+Assumptions!$D$14*(2-1))*Assumptions!$E$14)</f>
        <v>94461.4870416499</v>
      </c>
    </row>
    <row r="7" customFormat="false" ht="15" hidden="false" customHeight="false" outlineLevel="0" collapsed="false">
      <c r="A7" s="2" t="s">
        <v>77</v>
      </c>
      <c r="B7" s="18" t="n">
        <f aca="false">Assumptions!$B$6*(1+Assumptions!$B$12)^(9-1)</f>
        <v>433142.682251232</v>
      </c>
      <c r="C7" s="18" t="n">
        <f aca="false">Assumptions!$B$6*(1+Assumptions!$B$13)^(9-1)</f>
        <v>487361.159003967</v>
      </c>
      <c r="D7" s="18" t="n">
        <f aca="false">Assumptions!$B$6*(1+Assumptions!$B$14)^(9-1)</f>
        <v>568840.245134643</v>
      </c>
      <c r="E7" s="18" t="n">
        <f aca="false">B7*Assumptions!$C$12-(Assumptions!$B$8+(Assumptions!$B$7+Assumptions!$D$12*(3-1))*Assumptions!$E$12)</f>
        <v>52548.4629957639</v>
      </c>
      <c r="F7" s="18" t="n">
        <f aca="false">C7*Assumptions!$C$13-(Assumptions!$B$8+(Assumptions!$B$7+Assumptions!$D$13*(3-1))*Assumptions!$E$13)</f>
        <v>81784.7533525785</v>
      </c>
      <c r="G7" s="18" t="n">
        <f aca="false">D7*Assumptions!$C$14-(Assumptions!$B$8+(Assumptions!$B$7+Assumptions!$D$14*(3-1))*Assumptions!$E$14)</f>
        <v>113811.366691557</v>
      </c>
    </row>
    <row r="8" customFormat="false" ht="15" hidden="false" customHeight="false" outlineLevel="0" collapsed="false">
      <c r="A8" s="2" t="s">
        <v>78</v>
      </c>
      <c r="B8" s="18" t="n">
        <f aca="false">Assumptions!$B$6*(1+Assumptions!$B$12)^(12-1)</f>
        <v>446267.338666127</v>
      </c>
      <c r="C8" s="18" t="n">
        <f aca="false">Assumptions!$B$6*(1+Assumptions!$B$13)^(12-1)</f>
        <v>524834.663120506</v>
      </c>
      <c r="D8" s="18" t="n">
        <f aca="false">Assumptions!$B$6*(1+Assumptions!$B$14)^(12-1)</f>
        <v>649141.218284351</v>
      </c>
      <c r="E8" s="18" t="n">
        <f aca="false">B8*Assumptions!$C$12-(Assumptions!$B$8+(Assumptions!$B$7+Assumptions!$D$12*(4-1))*Assumptions!$E$12)</f>
        <v>60685.7499729985</v>
      </c>
      <c r="F8" s="18" t="n">
        <f aca="false">C8*Assumptions!$C$13-(Assumptions!$B$8+(Assumptions!$B$7+Assumptions!$D$13*(4-1))*Assumptions!$E$13)</f>
        <v>96642.5310283291</v>
      </c>
      <c r="G8" s="18" t="n">
        <f aca="false">D8*Assumptions!$C$14-(Assumptions!$B$8+(Assumptions!$B$7+Assumptions!$D$14*(4-1))*Assumptions!$E$14)</f>
        <v>139916.028433358</v>
      </c>
    </row>
    <row r="9" customFormat="false" ht="15" hidden="false" customHeight="false" outlineLevel="0" collapsed="false">
      <c r="A9" s="2" t="s">
        <v>79</v>
      </c>
      <c r="B9" s="18" t="n">
        <f aca="false">Assumptions!$B$6*(1+Assumptions!$B$12)^(15-1)</f>
        <v>459789.685295049</v>
      </c>
      <c r="C9" s="18" t="n">
        <f aca="false">Assumptions!$B$6*(1+Assumptions!$B$13)^(15-1)</f>
        <v>565189.528389506</v>
      </c>
      <c r="D9" s="18" t="n">
        <f aca="false">Assumptions!$B$6*(1+Assumptions!$B$14)^(15-1)</f>
        <v>740777.968647331</v>
      </c>
      <c r="E9" s="18" t="n">
        <f aca="false">B9*Assumptions!$C$12-(Assumptions!$B$8+(Assumptions!$B$7+Assumptions!$D$12*(5-1))*Assumptions!$E$12)</f>
        <v>69069.6048829304</v>
      </c>
      <c r="F9" s="18" t="n">
        <f aca="false">C9*Assumptions!$C$13-(Assumptions!$B$8+(Assumptions!$B$7+Assumptions!$D$13*(5-1))*Assumptions!$E$13)</f>
        <v>113373.193453179</v>
      </c>
      <c r="G9" s="18" t="n">
        <f aca="false">D9*Assumptions!$C$14-(Assumptions!$B$8+(Assumptions!$B$7+Assumptions!$D$14*(5-1))*Assumptions!$E$14)</f>
        <v>173729.018680185</v>
      </c>
    </row>
    <row r="10" customFormat="false" ht="15" hidden="false" customHeight="false" outlineLevel="0" collapsed="false">
      <c r="A10" s="2" t="s">
        <v>80</v>
      </c>
      <c r="B10" s="18" t="n">
        <f aca="false">Assumptions!$B$6*(1+Assumptions!$B$12)^(18-1)</f>
        <v>473721.772549174</v>
      </c>
      <c r="C10" s="18" t="n">
        <f aca="false">Assumptions!$B$6*(1+Assumptions!$B$13)^(18-1)</f>
        <v>608647.304470831</v>
      </c>
      <c r="D10" s="18" t="n">
        <f aca="false">Assumptions!$B$6*(1+Assumptions!$B$14)^(18-1)</f>
        <v>845350.723966646</v>
      </c>
      <c r="E10" s="18" t="n">
        <f aca="false">B10*Assumptions!$C$12-(Assumptions!$B$8+(Assumptions!$B$7+Assumptions!$D$12*(6-1))*Assumptions!$E$12)</f>
        <v>77707.4989804881</v>
      </c>
      <c r="F10" s="18" t="n">
        <f aca="false">C10*Assumptions!$C$13-(Assumptions!$B$8+(Assumptions!$B$7+Assumptions!$D$13*(6-1))*Assumptions!$E$13)</f>
        <v>132120.74790604</v>
      </c>
      <c r="G10" s="18" t="n">
        <f aca="false">D10*Assumptions!$C$14-(Assumptions!$B$8+(Assumptions!$B$7+Assumptions!$D$14*(6-1))*Assumptions!$E$14)</f>
        <v>216338.492297319</v>
      </c>
    </row>
    <row r="11" customFormat="false" ht="15" hidden="false" customHeight="false" outlineLevel="0" collapsed="false">
      <c r="A11" s="2" t="s">
        <v>81</v>
      </c>
      <c r="B11" s="18" t="n">
        <f aca="false">Assumptions!$B$6*(1+Assumptions!$B$12)^(21-1)</f>
        <v>488076.015979187</v>
      </c>
      <c r="C11" s="18" t="n">
        <f aca="false">Assumptions!$B$6*(1+Assumptions!$B$13)^(21-1)</f>
        <v>655446.576116158</v>
      </c>
      <c r="D11" s="18" t="n">
        <f aca="false">Assumptions!$B$6*(1+Assumptions!$B$14)^(21-1)</f>
        <v>964685.609934962</v>
      </c>
      <c r="E11" s="18" t="n">
        <f aca="false">B11*Assumptions!$C$12-(Assumptions!$B$8+(Assumptions!$B$7+Assumptions!$D$12*(7-1))*Assumptions!$E$12)</f>
        <v>86607.1299070958</v>
      </c>
      <c r="F11" s="18" t="n">
        <f aca="false">C11*Assumptions!$C$13-(Assumptions!$B$8+(Assumptions!$B$7+Assumptions!$D$13*(7-1))*Assumptions!$E$13)</f>
        <v>153040.274475503</v>
      </c>
      <c r="G11" s="18" t="n">
        <f aca="false">D11*Assumptions!$C$14-(Assumptions!$B$8+(Assumptions!$B$7+Assumptions!$D$14*(7-1))*Assumptions!$E$14)</f>
        <v>268986.214755775</v>
      </c>
    </row>
    <row r="12" customFormat="false" ht="15" hidden="false" customHeight="false" outlineLevel="0" collapsed="false">
      <c r="A12" s="2" t="s">
        <v>82</v>
      </c>
      <c r="B12" s="18" t="n">
        <f aca="false">Assumptions!$B$6*(1+Assumptions!$B$12)^(24-1)</f>
        <v>502865.207339372</v>
      </c>
      <c r="C12" s="18" t="n">
        <f aca="false">Assumptions!$B$6*(1+Assumptions!$B$13)^(24-1)</f>
        <v>705844.273007839</v>
      </c>
      <c r="D12" s="18" t="n">
        <f aca="false">Assumptions!$B$6*(1+Assumptions!$B$14)^(24-1)</f>
        <v>1100866.53933274</v>
      </c>
      <c r="E12" s="18" t="n">
        <f aca="false">B12*Assumptions!$C$12-(Assumptions!$B$8+(Assumptions!$B$7+Assumptions!$D$12*(8-1))*Assumptions!$E$12)</f>
        <v>95776.4285504107</v>
      </c>
      <c r="F12" s="18" t="n">
        <f aca="false">C12*Assumptions!$C$13-(Assumptions!$B$8+(Assumptions!$B$7+Assumptions!$D$13*(8-1))*Assumptions!$E$13)</f>
        <v>176298.777455095</v>
      </c>
      <c r="G12" s="18" t="n">
        <f aca="false">D12*Assumptions!$C$14-(Assumptions!$B$8+(Assumptions!$B$7+Assumptions!$D$14*(8-1))*Assumptions!$E$14)</f>
        <v>333089.246746265</v>
      </c>
    </row>
    <row r="14" customFormat="false" ht="15" hidden="false" customHeight="false" outlineLevel="0" collapsed="false">
      <c r="A14" s="5" t="s">
        <v>83</v>
      </c>
    </row>
    <row r="15" customFormat="false" ht="15" hidden="false" customHeight="false" outlineLevel="0" collapsed="false">
      <c r="A15" s="3" t="s">
        <v>26</v>
      </c>
      <c r="B15" s="3" t="s">
        <v>63</v>
      </c>
      <c r="C15" s="3" t="s">
        <v>67</v>
      </c>
      <c r="D15" s="3" t="s">
        <v>68</v>
      </c>
    </row>
    <row r="16" customFormat="false" ht="15" hidden="false" customHeight="false" outlineLevel="0" collapsed="false">
      <c r="A16" s="2" t="s">
        <v>31</v>
      </c>
      <c r="B16" s="20" t="n">
        <f aca="false">B12</f>
        <v>502865.207339372</v>
      </c>
      <c r="C16" s="20" t="n">
        <f aca="false">E12</f>
        <v>95776.4285504107</v>
      </c>
      <c r="D16" s="22" t="n">
        <f aca="false">IFERROR(C16/B16,0)</f>
        <v>0.190461434103102</v>
      </c>
    </row>
    <row r="17" customFormat="false" ht="15" hidden="false" customHeight="false" outlineLevel="0" collapsed="false">
      <c r="A17" s="2" t="s">
        <v>20</v>
      </c>
      <c r="B17" s="20" t="n">
        <f aca="false">C12</f>
        <v>705844.273007839</v>
      </c>
      <c r="C17" s="20" t="n">
        <f aca="false">F12</f>
        <v>176298.777455095</v>
      </c>
      <c r="D17" s="22" t="n">
        <f aca="false">IFERROR(C17/B17,0)</f>
        <v>0.249770075634144</v>
      </c>
    </row>
    <row r="18" customFormat="false" ht="15" hidden="false" customHeight="false" outlineLevel="0" collapsed="false">
      <c r="A18" s="2" t="s">
        <v>32</v>
      </c>
      <c r="B18" s="20" t="n">
        <f aca="false">D12</f>
        <v>1100866.53933274</v>
      </c>
      <c r="C18" s="20" t="n">
        <f aca="false">G12</f>
        <v>333089.246746265</v>
      </c>
      <c r="D18" s="22" t="n">
        <f aca="false">IFERROR(C18/B18,0)</f>
        <v>0.302570052631591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2026-09-02T17:55:22Z</dcterms:created>
  <dc:creator>openpyxl</dc:creator>
  <dc:description/>
  <dc:language>en-US</dc:language>
  <cp:lastModifiedBy/>
  <dcterms:modified xsi:type="dcterms:W3CDTF">2026-09-02T17:55:25Z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