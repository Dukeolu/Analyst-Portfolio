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GRC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<sst xmlns="http://schemas.openxmlformats.org/spreadsheetml/2006/main" count="172" uniqueCount="112">
  <si>
    <t xml:space="preserve">Meridian Manufacturing (simulated) — Cybersecurity &amp; IT Risk Register</t>
  </si>
  <si>
    <t xml:space="preserve">Rolled up from every case in the IT &amp; Cybersecurity portfolio track. Scores are live formulas — edit likelihood, impact, or residual values below and the numbers recalculate.</t>
  </si>
  <si>
    <t xml:space="preserve">Risk ID</t>
  </si>
  <si>
    <t xml:space="preserve">Title</t>
  </si>
  <si>
    <t xml:space="preserve">Category</t>
  </si>
  <si>
    <t xml:space="preserve">CSF Function</t>
  </si>
  <si>
    <t xml:space="preserve">Source Case</t>
  </si>
  <si>
    <t xml:space="preserve">Inh. Likelihood</t>
  </si>
  <si>
    <t xml:space="preserve">Inh. Impact</t>
  </si>
  <si>
    <t xml:space="preserve">Inherent Score</t>
  </si>
  <si>
    <t xml:space="preserve">Res. Likelihood</t>
  </si>
  <si>
    <t xml:space="preserve">Res. Impact</t>
  </si>
  <si>
    <t xml:space="preserve">Residual Score</t>
  </si>
  <si>
    <t xml:space="preserve">Risk Reduction %</t>
  </si>
  <si>
    <t xml:space="preserve">Status</t>
  </si>
  <si>
    <t xml:space="preserve">Owner</t>
  </si>
  <si>
    <t xml:space="preserve">Target Date</t>
  </si>
  <si>
    <t xml:space="preserve">Notes</t>
  </si>
  <si>
    <t xml:space="preserve">R01</t>
  </si>
  <si>
    <t xml:space="preserve">Log4Shell RCE on the ERP/WMS integration server</t>
  </si>
  <si>
    <t xml:space="preserve">Vulnerability</t>
  </si>
  <si>
    <t xml:space="preserve">Protect</t>
  </si>
  <si>
    <t xml:space="preserve">Vulnerability Assessment (Cyber Case 02)</t>
  </si>
  <si>
    <t xml:space="preserve">Closed</t>
  </si>
  <si>
    <t xml:space="preserve">Infrastructure</t>
  </si>
  <si>
    <t xml:space="preserve">2026-01-15</t>
  </si>
  <si>
    <t xml:space="preserve">Patched per refined remediation priority; server also hardened (Cyber Case 03)</t>
  </si>
  <si>
    <t xml:space="preserve">R02</t>
  </si>
  <si>
    <t xml:space="preserve">Citrix VPN gateway RCE (refined priority #1 finding)</t>
  </si>
  <si>
    <t xml:space="preserve">Patched first under the composite-score refined ranking, ahead of naive CVSS-only order</t>
  </si>
  <si>
    <t xml:space="preserve">R03</t>
  </si>
  <si>
    <t xml:space="preserve">Legacy TLS 1.0/1.1 still enabled on the EDI integration API</t>
  </si>
  <si>
    <t xml:space="preserve">Configuration</t>
  </si>
  <si>
    <t xml:space="preserve">Security Hardening (Cyber Case 03)</t>
  </si>
  <si>
    <t xml:space="preserve">Risk Accepted</t>
  </si>
  <si>
    <t xml:space="preserve">2026-Q2</t>
  </si>
  <si>
    <t xml:space="preserve">One trading partner's client can't yet negotiate TLS 1.2+; migration scheduled, disclosed and time-boxed</t>
  </si>
  <si>
    <t xml:space="preserve">R04</t>
  </si>
  <si>
    <t xml:space="preserve">Vendor support account still active &amp; privileged 8 months post-engagement</t>
  </si>
  <si>
    <t xml:space="preserve">Access Control</t>
  </si>
  <si>
    <t xml:space="preserve">Identify</t>
  </si>
  <si>
    <t xml:space="preserve">Incident Response Tabletop (Cyber Case 04)</t>
  </si>
  <si>
    <t xml:space="preserve">Open</t>
  </si>
  <si>
    <t xml:space="preserve">IT Security</t>
  </si>
  <si>
    <t xml:space="preserve">2026-10-01</t>
  </si>
  <si>
    <t xml:space="preserve">Was the actual lateral-movement path used in the tabletop scenario; no compensating control yet</t>
  </si>
  <si>
    <t xml:space="preserve">R05</t>
  </si>
  <si>
    <t xml:space="preserve">No ransomware-specific incident response runbook</t>
  </si>
  <si>
    <t xml:space="preserve">Response Readiness</t>
  </si>
  <si>
    <t xml:space="preserve">Respond</t>
  </si>
  <si>
    <t xml:space="preserve">2026-09-30</t>
  </si>
  <si>
    <t xml:space="preserve">Team improvised containment steps in the tabletop; adapt the VPN outage runbook format</t>
  </si>
  <si>
    <t xml:space="preserve">R06</t>
  </si>
  <si>
    <t xml:space="preserve">Phishing reports take ~2 days to reach security (26h detection gap)</t>
  </si>
  <si>
    <t xml:space="preserve">Detection Gap</t>
  </si>
  <si>
    <t xml:space="preserve">Detect</t>
  </si>
  <si>
    <t xml:space="preserve">2026-10-15</t>
  </si>
  <si>
    <t xml:space="preserve">Single highest-priority recommendation from the tabletop after-action report</t>
  </si>
  <si>
    <t xml:space="preserve">R07</t>
  </si>
  <si>
    <t xml:space="preserve">Account-takeover detection rule not yet deployed</t>
  </si>
  <si>
    <t xml:space="preserve">Log Analysis / Intrusion Detection (prior case)</t>
  </si>
  <si>
    <t xml:space="preserve">In Progress</t>
  </si>
  <si>
    <t xml:space="preserve">SOC</t>
  </si>
  <si>
    <t xml:space="preserve">2026-11-01</t>
  </si>
  <si>
    <t xml:space="preserve">Would likely have caught the tabletop's user0147 compromise at hour 0-1 instead of hour 26</t>
  </si>
  <si>
    <t xml:space="preserve">R08</t>
  </si>
  <si>
    <t xml:space="preserve">No recurring access review for third-party / vendor accounts</t>
  </si>
  <si>
    <t xml:space="preserve">Governance</t>
  </si>
  <si>
    <t xml:space="preserve">Govern</t>
  </si>
  <si>
    <t xml:space="preserve">Standing process gap, independent of any single incident</t>
  </si>
  <si>
    <t xml:space="preserve">R09</t>
  </si>
  <si>
    <t xml:space="preserve">SSH accepted password auth &amp; legacy ciphers (pre-hardening baseline)</t>
  </si>
  <si>
    <t xml:space="preserve">2026-01-20</t>
  </si>
  <si>
    <t xml:space="preserve">Access &amp; SSH category went from 0/6 to 6/6 controls passing</t>
  </si>
  <si>
    <t xml:space="preserve">R10</t>
  </si>
  <si>
    <t xml:space="preserve">World-writable files &amp; empty-password accounts (pre-hardening baseline)</t>
  </si>
  <si>
    <t xml:space="preserve">Filesystem &amp; Access categories both reached 100% post-remediation</t>
  </si>
  <si>
    <t xml:space="preserve">R11</t>
  </si>
  <si>
    <t xml:space="preserve">Backup recovery point objective is a 4-hour window, unvalidated beyond one incident</t>
  </si>
  <si>
    <t xml:space="preserve">Recovery</t>
  </si>
  <si>
    <t xml:space="preserve">Recover</t>
  </si>
  <si>
    <t xml:space="preserve">Monitoring</t>
  </si>
  <si>
    <t xml:space="preserve">IT Infrastructure</t>
  </si>
  <si>
    <t xml:space="preserve">2026-Q1 review</t>
  </si>
  <si>
    <t xml:space="preserve">Restore worked cleanly in the tabletop; RPO tightening is a future efficiency question, not a current gap</t>
  </si>
  <si>
    <t xml:space="preserve">R12</t>
  </si>
  <si>
    <t xml:space="preserve">181 lower-severity scan findings outside the 8-hour remediation window</t>
  </si>
  <si>
    <t xml:space="preserve">2026-Q4 backlog</t>
  </si>
  <si>
    <t xml:space="preserve">Refined plan closed 29.0% of composite risk in the first 8 hours; the remainder is tracked backlog, not ignored</t>
  </si>
  <si>
    <t xml:space="preserve">R13</t>
  </si>
  <si>
    <t xml:space="preserve">No policy trigger tying account deprovisioning to HR/vendor contract end dates</t>
  </si>
  <si>
    <t xml:space="preserve">Synthesized across Cyber Case 04 findings</t>
  </si>
  <si>
    <t xml:space="preserve">The policy-level root cause underneath both R04 and R08 — one fix closes both symptoms</t>
  </si>
  <si>
    <t xml:space="preserve">R14</t>
  </si>
  <si>
    <t xml:space="preserve">Warehouse &amp; Ops VPN accounts use single-factor authentication</t>
  </si>
  <si>
    <t xml:space="preserve">Synthesized across IT Case 01, IT Case 04, Cyber Case 02, Cyber Case 04</t>
  </si>
  <si>
    <t xml:space="preserve">2026-11-15</t>
  </si>
  <si>
    <t xml:space="preserve">The VPN gateway recurs as an initial-access or availability theme in four separate cases; MFA is the common fix</t>
  </si>
  <si>
    <t xml:space="preserve">R15</t>
  </si>
  <si>
    <t xml:space="preserve">KB self-service articles still building toward target adoption</t>
  </si>
  <si>
    <t xml:space="preserve">Knowledge Base &amp; Runbook Set (IT Case 04)</t>
  </si>
  <si>
    <t xml:space="preserve">IT Support</t>
  </si>
  <si>
    <t xml:space="preserve">2026-Q2 review</t>
  </si>
  <si>
    <t xml:space="preserve">25% adoption assumption modeled in that case; higher adoption further reduces technician load</t>
  </si>
  <si>
    <t xml:space="preserve">GRC Summary — live rollup of the Risk Register sheet</t>
  </si>
  <si>
    <t xml:space="preserve">Every value below is a formula referencing 'Risk Register' — no hand-typed totals.</t>
  </si>
  <si>
    <t xml:space="preserve">Total risks tracked</t>
  </si>
  <si>
    <t xml:space="preserve">Total inherent risk score</t>
  </si>
  <si>
    <t xml:space="preserve">Total residual risk score</t>
  </si>
  <si>
    <t xml:space="preserve">Overall risk reduction %</t>
  </si>
  <si>
    <t xml:space="preserve">Status breakdown</t>
  </si>
  <si>
    <t xml:space="preserve">Residual risk by CSF function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</si>
</sst>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8B2F2F"/>
      <name val="Calibri"/>
      <family val="0"/>
      <charset val="1"/>
    </font>
    <font>
      <i val="true"/>
      <sz val="9.5"/>
      <color rgb="FF524D4A"/>
      <name val="Calibri"/>
      <family val="0"/>
      <charset val="1"/>
    </font>
    <font>
      <b val="true"/>
      <sz val="10.5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.5"/>
      <name val="Calibri"/>
      <family val="0"/>
      <charset val="1"/>
    </font>
    <font>
      <b val="true"/>
      <sz val="11"/>
      <color rgb="FF6B202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8B2F2F"/>
        <bgColor rgb="FF993366"/>
      </patternFill>
    </fill>
    <fill>
      <patternFill patternType="solid">
        <fgColor rgb="FFD7EFD7"/>
        <bgColor rgb="FFDCEAF5"/>
      </patternFill>
    </fill>
    <fill>
      <patternFill patternType="solid">
        <fgColor rgb="FFE3DCF5"/>
        <bgColor rgb="FFD9D9D9"/>
      </patternFill>
    </fill>
    <fill>
      <patternFill patternType="solid">
        <fgColor rgb="FFF5D6D6"/>
        <bgColor rgb="FFE3DCF5"/>
      </patternFill>
    </fill>
    <fill>
      <patternFill patternType="solid">
        <fgColor rgb="FFFBEAC7"/>
        <bgColor rgb="FFF5D6D6"/>
      </patternFill>
    </fill>
    <fill>
      <patternFill patternType="solid">
        <fgColor rgb="FFDCEAF5"/>
        <bgColor rgb="FFD7EFD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2B8B2"/>
      </left>
      <right style="thin">
        <color rgb="FFC2B8B2"/>
      </right>
      <top style="thin">
        <color rgb="FFC2B8B2"/>
      </top>
      <bottom style="thin">
        <color rgb="FFC2B8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B2020"/>
      <rgbColor rgb="FF008000"/>
      <rgbColor rgb="FF000080"/>
      <rgbColor rgb="FF808000"/>
      <rgbColor rgb="FF800080"/>
      <rgbColor rgb="FF008080"/>
      <rgbColor rgb="FFC2B8B2"/>
      <rgbColor rgb="FF878787"/>
      <rgbColor rgb="FF9999FF"/>
      <rgbColor rgb="FFC0504D"/>
      <rgbColor rgb="FFF9F9F9"/>
      <rgbColor rgb="FFDCEA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DCF5"/>
      <rgbColor rgb="FFD7EFD7"/>
      <rgbColor rgb="FFFBEAC7"/>
      <rgbColor rgb="FF99CCFF"/>
      <rgbColor rgb="FFFF99CC"/>
      <rgbColor rgb="FFCC99FF"/>
      <rgbColor rgb="FFF5D6D6"/>
      <rgbColor rgb="FF4F81BD"/>
      <rgbColor rgb="FF4BACC6"/>
      <rgbColor rgb="FF9BBB59"/>
      <rgbColor rgb="FFFFCC00"/>
      <rgbColor rgb="FFFF9900"/>
      <rgbColor rgb="FFFF6600"/>
      <rgbColor rgb="FF8064A2"/>
      <rgbColor rgb="FF969696"/>
      <rgbColor rgb="FF003366"/>
      <rgbColor rgb="FF339966"/>
      <rgbColor rgb="FF003300"/>
      <rgbColor rgb="FF333300"/>
      <rgbColor rgb="FF8B2F2F"/>
      <rgbColor rgb="FF993366"/>
      <rgbColor rgb="FF333399"/>
      <rgbColor rgb="FF524D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Residual Risk Score by Risk ID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Register'!K4</c:f>
              <c:strCache>
                <c:ptCount val="1"/>
                <c:pt idx="0">
                  <c:v>Residual Score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Register'!$A$5:$A$19</c:f>
              <c:strCache>
                <c:ptCount val="15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</c:strCache>
            </c:strRef>
          </c:cat>
          <c:val>
            <c:numRef>
              <c:f>'Risk Register'!$K$5:$K$19</c:f>
              <c:numCache>
                <c:formatCode>General</c:formatCode>
                <c:ptCount val="15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12</c:v>
                </c:pt>
                <c:pt idx="4">
                  <c:v>12</c:v>
                </c:pt>
                <c:pt idx="5">
                  <c:v>16</c:v>
                </c:pt>
                <c:pt idx="6">
                  <c:v>9</c:v>
                </c:pt>
                <c:pt idx="7">
                  <c:v>9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6</c:v>
                </c:pt>
                <c:pt idx="12">
                  <c:v>9</c:v>
                </c:pt>
                <c:pt idx="13">
                  <c:v>16</c:v>
                </c:pt>
                <c:pt idx="14">
                  <c:v>2</c:v>
                </c:pt>
              </c:numCache>
            </c:numRef>
          </c:val>
        </c:ser>
        <c:gapWidth val="150"/>
        <c:overlap val="0"/>
        <c:axId val="55119399"/>
        <c:axId val="32422877"/>
      </c:barChart>
      <c:catAx>
        <c:axId val="5511939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Residual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22877"/>
        <c:crosses val="autoZero"/>
        <c:auto val="1"/>
        <c:lblAlgn val="ctr"/>
        <c:lblOffset val="100"/>
        <c:noMultiLvlLbl val="0"/>
      </c:catAx>
      <c:valAx>
        <c:axId val="32422877"/>
        <c:scaling>
          <c:orientation val="maxMin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Risk ID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193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Risk 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'GRC Summary'!$A$10:$A$14</c:f>
              <c:strCache>
                <c:ptCount val="5"/>
                <c:pt idx="0">
                  <c:v>Closed</c:v>
                </c:pt>
                <c:pt idx="1">
                  <c:v>Open</c:v>
                </c:pt>
                <c:pt idx="2">
                  <c:v>In Progress</c:v>
                </c:pt>
                <c:pt idx="3">
                  <c:v>Risk Accepted</c:v>
                </c:pt>
                <c:pt idx="4">
                  <c:v>Monitoring</c:v>
                </c:pt>
              </c:strCache>
            </c:strRef>
          </c:cat>
          <c:val>
            <c:numRef>
              <c:f>'GRC Summary'!$B$10:$B$14</c:f>
              <c:numCache>
                <c:formatCode>General</c:formatCode>
                <c:ptCount val="5"/>
                <c:pt idx="0">
                  <c:v>4</c:v>
                </c:pt>
                <c:pt idx="1">
                  <c:v>7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Residual Risk by NIST CSF 2.0 Function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'GRC Summary'!$A$17:$A$22</c:f>
              <c:strCache>
                <c:ptCount val="6"/>
                <c:pt idx="0">
                  <c:v>Govern</c:v>
                </c:pt>
                <c:pt idx="1">
                  <c:v>Identify</c:v>
                </c:pt>
                <c:pt idx="2">
                  <c:v>Protect</c:v>
                </c:pt>
                <c:pt idx="3">
                  <c:v>Detect</c:v>
                </c:pt>
                <c:pt idx="4">
                  <c:v>Respond</c:v>
                </c:pt>
                <c:pt idx="5">
                  <c:v>Recover</c:v>
                </c:pt>
              </c:strCache>
            </c:strRef>
          </c:cat>
          <c:val>
            <c:numRef>
              <c:f>'GRC Summary'!$B$17:$B$22</c:f>
              <c:numCache>
                <c:formatCode>General</c:formatCode>
                <c:ptCount val="6"/>
                <c:pt idx="0">
                  <c:v>18</c:v>
                </c:pt>
                <c:pt idx="1">
                  <c:v>12</c:v>
                </c:pt>
                <c:pt idx="2">
                  <c:v>43</c:v>
                </c:pt>
                <c:pt idx="3">
                  <c:v>25</c:v>
                </c:pt>
                <c:pt idx="4">
                  <c:v>14</c:v>
                </c:pt>
                <c:pt idx="5">
                  <c:v>4</c:v>
                </c:pt>
              </c:numCache>
            </c:numRef>
          </c:val>
        </c:ser>
        <c:gapWidth val="150"/>
        <c:overlap val="0"/>
        <c:axId val="13042774"/>
        <c:axId val="48338106"/>
      </c:barChart>
      <c:catAx>
        <c:axId val="130427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CSF function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38106"/>
        <c:crosses val="autoZero"/>
        <c:auto val="1"/>
        <c:lblAlgn val="ctr"/>
        <c:lblOffset val="100"/>
        <c:noMultiLvlLbl val="0"/>
      </c:catAx>
      <c:valAx>
        <c:axId val="483381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Residual risk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427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2</xdr:row>
      <xdr:rowOff>160920</xdr:rowOff>
    </xdr:from>
    <xdr:to>
      <xdr:col>27</xdr:col>
      <xdr:colOff>364680</xdr:colOff>
      <xdr:row>14</xdr:row>
      <xdr:rowOff>382680</xdr:rowOff>
    </xdr:to>
    <xdr:graphicFrame>
      <xdr:nvGraphicFramePr>
        <xdr:cNvPr id="0" name="Chart 1"/>
        <xdr:cNvGraphicFramePr/>
      </xdr:nvGraphicFramePr>
      <xdr:xfrm>
        <a:off x="17457480" y="571680"/>
        <a:ext cx="647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8</xdr:col>
      <xdr:colOff>542160</xdr:colOff>
      <xdr:row>17</xdr:row>
      <xdr:rowOff>182880</xdr:rowOff>
    </xdr:to>
    <xdr:graphicFrame>
      <xdr:nvGraphicFramePr>
        <xdr:cNvPr id="1" name="Chart 1"/>
        <xdr:cNvGraphicFramePr/>
      </xdr:nvGraphicFramePr>
      <xdr:xfrm>
        <a:off x="3853800" y="5716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16</xdr:row>
      <xdr:rowOff>160560</xdr:rowOff>
    </xdr:from>
    <xdr:to>
      <xdr:col>10</xdr:col>
      <xdr:colOff>39240</xdr:colOff>
      <xdr:row>31</xdr:row>
      <xdr:rowOff>182880</xdr:rowOff>
    </xdr:to>
    <xdr:graphicFrame>
      <xdr:nvGraphicFramePr>
        <xdr:cNvPr id="2" name="Chart 2"/>
        <xdr:cNvGraphicFramePr/>
      </xdr:nvGraphicFramePr>
      <xdr:xfrm>
        <a:off x="3853800" y="3238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2"/>
    <col collapsed="false" customWidth="true" hidden="false" outlineLevel="0" max="16" min="16" style="0" width="4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33.75" hidden="false" customHeight="true" outlineLevel="0" collapsed="false">
      <c r="A5" s="4" t="s">
        <v>18</v>
      </c>
      <c r="B5" s="5" t="s">
        <v>19</v>
      </c>
      <c r="C5" s="4" t="s">
        <v>20</v>
      </c>
      <c r="D5" s="4" t="s">
        <v>21</v>
      </c>
      <c r="E5" s="5" t="s">
        <v>22</v>
      </c>
      <c r="F5" s="4" t="n">
        <v>4</v>
      </c>
      <c r="G5" s="4" t="n">
        <v>5</v>
      </c>
      <c r="H5" s="4" t="n">
        <f aca="false">F5*G5</f>
        <v>20</v>
      </c>
      <c r="I5" s="4" t="n">
        <v>1</v>
      </c>
      <c r="J5" s="4" t="n">
        <v>5</v>
      </c>
      <c r="K5" s="6" t="n">
        <f aca="false">I5*J5</f>
        <v>5</v>
      </c>
      <c r="L5" s="4" t="n">
        <f aca="false">IF(H5=0,0,ROUND((H5-K5)/H5*100,1))</f>
        <v>75</v>
      </c>
      <c r="M5" s="7" t="s">
        <v>23</v>
      </c>
      <c r="N5" s="4" t="s">
        <v>24</v>
      </c>
      <c r="O5" s="4" t="s">
        <v>25</v>
      </c>
      <c r="P5" s="5" t="s">
        <v>26</v>
      </c>
    </row>
    <row r="6" customFormat="false" ht="33.75" hidden="false" customHeight="true" outlineLevel="0" collapsed="false">
      <c r="A6" s="4" t="s">
        <v>27</v>
      </c>
      <c r="B6" s="5" t="s">
        <v>28</v>
      </c>
      <c r="C6" s="4" t="s">
        <v>20</v>
      </c>
      <c r="D6" s="4" t="s">
        <v>21</v>
      </c>
      <c r="E6" s="5" t="s">
        <v>22</v>
      </c>
      <c r="F6" s="4" t="n">
        <v>4</v>
      </c>
      <c r="G6" s="4" t="n">
        <v>5</v>
      </c>
      <c r="H6" s="4" t="n">
        <f aca="false">F6*G6</f>
        <v>20</v>
      </c>
      <c r="I6" s="4" t="n">
        <v>1</v>
      </c>
      <c r="J6" s="4" t="n">
        <v>5</v>
      </c>
      <c r="K6" s="6" t="n">
        <f aca="false">I6*J6</f>
        <v>5</v>
      </c>
      <c r="L6" s="4" t="n">
        <f aca="false">IF(H6=0,0,ROUND((H6-K6)/H6*100,1))</f>
        <v>75</v>
      </c>
      <c r="M6" s="7" t="s">
        <v>23</v>
      </c>
      <c r="N6" s="4" t="s">
        <v>24</v>
      </c>
      <c r="O6" s="4" t="s">
        <v>25</v>
      </c>
      <c r="P6" s="5" t="s">
        <v>29</v>
      </c>
    </row>
    <row r="7" customFormat="false" ht="33.75" hidden="false" customHeight="true" outlineLevel="0" collapsed="false">
      <c r="A7" s="4" t="s">
        <v>30</v>
      </c>
      <c r="B7" s="5" t="s">
        <v>31</v>
      </c>
      <c r="C7" s="4" t="s">
        <v>32</v>
      </c>
      <c r="D7" s="4" t="s">
        <v>21</v>
      </c>
      <c r="E7" s="5" t="s">
        <v>33</v>
      </c>
      <c r="F7" s="4" t="n">
        <v>3</v>
      </c>
      <c r="G7" s="4" t="n">
        <v>3</v>
      </c>
      <c r="H7" s="4" t="n">
        <f aca="false">F7*G7</f>
        <v>9</v>
      </c>
      <c r="I7" s="4" t="n">
        <v>2</v>
      </c>
      <c r="J7" s="4" t="n">
        <v>3</v>
      </c>
      <c r="K7" s="6" t="n">
        <f aca="false">I7*J7</f>
        <v>6</v>
      </c>
      <c r="L7" s="4" t="n">
        <f aca="false">IF(H7=0,0,ROUND((H7-K7)/H7*100,1))</f>
        <v>33.3</v>
      </c>
      <c r="M7" s="8" t="s">
        <v>34</v>
      </c>
      <c r="N7" s="4" t="s">
        <v>24</v>
      </c>
      <c r="O7" s="4" t="s">
        <v>35</v>
      </c>
      <c r="P7" s="5" t="s">
        <v>36</v>
      </c>
    </row>
    <row r="8" customFormat="false" ht="33.75" hidden="false" customHeight="true" outlineLevel="0" collapsed="false">
      <c r="A8" s="4" t="s">
        <v>37</v>
      </c>
      <c r="B8" s="5" t="s">
        <v>38</v>
      </c>
      <c r="C8" s="4" t="s">
        <v>39</v>
      </c>
      <c r="D8" s="4" t="s">
        <v>40</v>
      </c>
      <c r="E8" s="5" t="s">
        <v>41</v>
      </c>
      <c r="F8" s="4" t="n">
        <v>3</v>
      </c>
      <c r="G8" s="4" t="n">
        <v>4</v>
      </c>
      <c r="H8" s="4" t="n">
        <f aca="false">F8*G8</f>
        <v>12</v>
      </c>
      <c r="I8" s="4" t="n">
        <v>3</v>
      </c>
      <c r="J8" s="4" t="n">
        <v>4</v>
      </c>
      <c r="K8" s="6" t="n">
        <f aca="false">I8*J8</f>
        <v>12</v>
      </c>
      <c r="L8" s="4" t="n">
        <f aca="false">IF(H8=0,0,ROUND((H8-K8)/H8*100,1))</f>
        <v>0</v>
      </c>
      <c r="M8" s="9" t="s">
        <v>42</v>
      </c>
      <c r="N8" s="4" t="s">
        <v>43</v>
      </c>
      <c r="O8" s="4" t="s">
        <v>44</v>
      </c>
      <c r="P8" s="5" t="s">
        <v>45</v>
      </c>
    </row>
    <row r="9" customFormat="false" ht="33.75" hidden="false" customHeight="true" outlineLevel="0" collapsed="false">
      <c r="A9" s="4" t="s">
        <v>46</v>
      </c>
      <c r="B9" s="5" t="s">
        <v>47</v>
      </c>
      <c r="C9" s="4" t="s">
        <v>48</v>
      </c>
      <c r="D9" s="4" t="s">
        <v>49</v>
      </c>
      <c r="E9" s="5" t="s">
        <v>41</v>
      </c>
      <c r="F9" s="4" t="n">
        <v>3</v>
      </c>
      <c r="G9" s="4" t="n">
        <v>4</v>
      </c>
      <c r="H9" s="4" t="n">
        <f aca="false">F9*G9</f>
        <v>12</v>
      </c>
      <c r="I9" s="4" t="n">
        <v>3</v>
      </c>
      <c r="J9" s="4" t="n">
        <v>4</v>
      </c>
      <c r="K9" s="6" t="n">
        <f aca="false">I9*J9</f>
        <v>12</v>
      </c>
      <c r="L9" s="4" t="n">
        <f aca="false">IF(H9=0,0,ROUND((H9-K9)/H9*100,1))</f>
        <v>0</v>
      </c>
      <c r="M9" s="9" t="s">
        <v>42</v>
      </c>
      <c r="N9" s="4" t="s">
        <v>43</v>
      </c>
      <c r="O9" s="4" t="s">
        <v>50</v>
      </c>
      <c r="P9" s="5" t="s">
        <v>51</v>
      </c>
    </row>
    <row r="10" customFormat="false" ht="33.75" hidden="false" customHeight="true" outlineLevel="0" collapsed="false">
      <c r="A10" s="4" t="s">
        <v>52</v>
      </c>
      <c r="B10" s="5" t="s">
        <v>53</v>
      </c>
      <c r="C10" s="4" t="s">
        <v>54</v>
      </c>
      <c r="D10" s="4" t="s">
        <v>55</v>
      </c>
      <c r="E10" s="5" t="s">
        <v>41</v>
      </c>
      <c r="F10" s="4" t="n">
        <v>4</v>
      </c>
      <c r="G10" s="4" t="n">
        <v>4</v>
      </c>
      <c r="H10" s="4" t="n">
        <f aca="false">F10*G10</f>
        <v>16</v>
      </c>
      <c r="I10" s="4" t="n">
        <v>4</v>
      </c>
      <c r="J10" s="4" t="n">
        <v>4</v>
      </c>
      <c r="K10" s="6" t="n">
        <f aca="false">I10*J10</f>
        <v>16</v>
      </c>
      <c r="L10" s="4" t="n">
        <f aca="false">IF(H10=0,0,ROUND((H10-K10)/H10*100,1))</f>
        <v>0</v>
      </c>
      <c r="M10" s="9" t="s">
        <v>42</v>
      </c>
      <c r="N10" s="4" t="s">
        <v>43</v>
      </c>
      <c r="O10" s="4" t="s">
        <v>56</v>
      </c>
      <c r="P10" s="5" t="s">
        <v>57</v>
      </c>
    </row>
    <row r="11" customFormat="false" ht="33.75" hidden="false" customHeight="true" outlineLevel="0" collapsed="false">
      <c r="A11" s="4" t="s">
        <v>58</v>
      </c>
      <c r="B11" s="5" t="s">
        <v>59</v>
      </c>
      <c r="C11" s="4" t="s">
        <v>54</v>
      </c>
      <c r="D11" s="4" t="s">
        <v>55</v>
      </c>
      <c r="E11" s="5" t="s">
        <v>60</v>
      </c>
      <c r="F11" s="4" t="n">
        <v>3</v>
      </c>
      <c r="G11" s="4" t="n">
        <v>4</v>
      </c>
      <c r="H11" s="4" t="n">
        <f aca="false">F11*G11</f>
        <v>12</v>
      </c>
      <c r="I11" s="4" t="n">
        <v>3</v>
      </c>
      <c r="J11" s="4" t="n">
        <v>3</v>
      </c>
      <c r="K11" s="6" t="n">
        <f aca="false">I11*J11</f>
        <v>9</v>
      </c>
      <c r="L11" s="4" t="n">
        <f aca="false">IF(H11=0,0,ROUND((H11-K11)/H11*100,1))</f>
        <v>25</v>
      </c>
      <c r="M11" s="10" t="s">
        <v>61</v>
      </c>
      <c r="N11" s="4" t="s">
        <v>62</v>
      </c>
      <c r="O11" s="4" t="s">
        <v>63</v>
      </c>
      <c r="P11" s="5" t="s">
        <v>64</v>
      </c>
    </row>
    <row r="12" customFormat="false" ht="33.75" hidden="false" customHeight="true" outlineLevel="0" collapsed="false">
      <c r="A12" s="4" t="s">
        <v>65</v>
      </c>
      <c r="B12" s="5" t="s">
        <v>66</v>
      </c>
      <c r="C12" s="4" t="s">
        <v>67</v>
      </c>
      <c r="D12" s="4" t="s">
        <v>68</v>
      </c>
      <c r="E12" s="5" t="s">
        <v>41</v>
      </c>
      <c r="F12" s="4" t="n">
        <v>3</v>
      </c>
      <c r="G12" s="4" t="n">
        <v>3</v>
      </c>
      <c r="H12" s="4" t="n">
        <f aca="false">F12*G12</f>
        <v>9</v>
      </c>
      <c r="I12" s="4" t="n">
        <v>3</v>
      </c>
      <c r="J12" s="4" t="n">
        <v>3</v>
      </c>
      <c r="K12" s="6" t="n">
        <f aca="false">I12*J12</f>
        <v>9</v>
      </c>
      <c r="L12" s="4" t="n">
        <f aca="false">IF(H12=0,0,ROUND((H12-K12)/H12*100,1))</f>
        <v>0</v>
      </c>
      <c r="M12" s="9" t="s">
        <v>42</v>
      </c>
      <c r="N12" s="4" t="s">
        <v>43</v>
      </c>
      <c r="O12" s="4" t="s">
        <v>44</v>
      </c>
      <c r="P12" s="5" t="s">
        <v>69</v>
      </c>
    </row>
    <row r="13" customFormat="false" ht="33.75" hidden="false" customHeight="true" outlineLevel="0" collapsed="false">
      <c r="A13" s="4" t="s">
        <v>70</v>
      </c>
      <c r="B13" s="5" t="s">
        <v>71</v>
      </c>
      <c r="C13" s="4" t="s">
        <v>32</v>
      </c>
      <c r="D13" s="4" t="s">
        <v>21</v>
      </c>
      <c r="E13" s="5" t="s">
        <v>33</v>
      </c>
      <c r="F13" s="4" t="n">
        <v>3</v>
      </c>
      <c r="G13" s="4" t="n">
        <v>3</v>
      </c>
      <c r="H13" s="4" t="n">
        <f aca="false">F13*G13</f>
        <v>9</v>
      </c>
      <c r="I13" s="4" t="n">
        <v>1</v>
      </c>
      <c r="J13" s="4" t="n">
        <v>3</v>
      </c>
      <c r="K13" s="6" t="n">
        <f aca="false">I13*J13</f>
        <v>3</v>
      </c>
      <c r="L13" s="4" t="n">
        <f aca="false">IF(H13=0,0,ROUND((H13-K13)/H13*100,1))</f>
        <v>66.7</v>
      </c>
      <c r="M13" s="7" t="s">
        <v>23</v>
      </c>
      <c r="N13" s="4" t="s">
        <v>24</v>
      </c>
      <c r="O13" s="4" t="s">
        <v>72</v>
      </c>
      <c r="P13" s="5" t="s">
        <v>73</v>
      </c>
    </row>
    <row r="14" customFormat="false" ht="33.75" hidden="false" customHeight="true" outlineLevel="0" collapsed="false">
      <c r="A14" s="4" t="s">
        <v>74</v>
      </c>
      <c r="B14" s="5" t="s">
        <v>75</v>
      </c>
      <c r="C14" s="4" t="s">
        <v>32</v>
      </c>
      <c r="D14" s="4" t="s">
        <v>21</v>
      </c>
      <c r="E14" s="5" t="s">
        <v>33</v>
      </c>
      <c r="F14" s="4" t="n">
        <v>3</v>
      </c>
      <c r="G14" s="4" t="n">
        <v>3</v>
      </c>
      <c r="H14" s="4" t="n">
        <f aca="false">F14*G14</f>
        <v>9</v>
      </c>
      <c r="I14" s="4" t="n">
        <v>1</v>
      </c>
      <c r="J14" s="4" t="n">
        <v>2</v>
      </c>
      <c r="K14" s="6" t="n">
        <f aca="false">I14*J14</f>
        <v>2</v>
      </c>
      <c r="L14" s="4" t="n">
        <f aca="false">IF(H14=0,0,ROUND((H14-K14)/H14*100,1))</f>
        <v>77.8</v>
      </c>
      <c r="M14" s="7" t="s">
        <v>23</v>
      </c>
      <c r="N14" s="4" t="s">
        <v>24</v>
      </c>
      <c r="O14" s="4" t="s">
        <v>72</v>
      </c>
      <c r="P14" s="5" t="s">
        <v>76</v>
      </c>
    </row>
    <row r="15" customFormat="false" ht="33.75" hidden="false" customHeight="true" outlineLevel="0" collapsed="false">
      <c r="A15" s="4" t="s">
        <v>77</v>
      </c>
      <c r="B15" s="5" t="s">
        <v>78</v>
      </c>
      <c r="C15" s="4" t="s">
        <v>79</v>
      </c>
      <c r="D15" s="4" t="s">
        <v>80</v>
      </c>
      <c r="E15" s="5" t="s">
        <v>41</v>
      </c>
      <c r="F15" s="4" t="n">
        <v>2</v>
      </c>
      <c r="G15" s="4" t="n">
        <v>3</v>
      </c>
      <c r="H15" s="4" t="n">
        <f aca="false">F15*G15</f>
        <v>6</v>
      </c>
      <c r="I15" s="4" t="n">
        <v>2</v>
      </c>
      <c r="J15" s="4" t="n">
        <v>2</v>
      </c>
      <c r="K15" s="6" t="n">
        <f aca="false">I15*J15</f>
        <v>4</v>
      </c>
      <c r="L15" s="4" t="n">
        <f aca="false">IF(H15=0,0,ROUND((H15-K15)/H15*100,1))</f>
        <v>33.3</v>
      </c>
      <c r="M15" s="11" t="s">
        <v>81</v>
      </c>
      <c r="N15" s="4" t="s">
        <v>82</v>
      </c>
      <c r="O15" s="4" t="s">
        <v>83</v>
      </c>
      <c r="P15" s="5" t="s">
        <v>84</v>
      </c>
    </row>
    <row r="16" customFormat="false" ht="33.75" hidden="false" customHeight="true" outlineLevel="0" collapsed="false">
      <c r="A16" s="4" t="s">
        <v>85</v>
      </c>
      <c r="B16" s="5" t="s">
        <v>86</v>
      </c>
      <c r="C16" s="4" t="s">
        <v>20</v>
      </c>
      <c r="D16" s="4" t="s">
        <v>21</v>
      </c>
      <c r="E16" s="5" t="s">
        <v>22</v>
      </c>
      <c r="F16" s="4" t="n">
        <v>3</v>
      </c>
      <c r="G16" s="4" t="n">
        <v>2</v>
      </c>
      <c r="H16" s="4" t="n">
        <f aca="false">F16*G16</f>
        <v>6</v>
      </c>
      <c r="I16" s="4" t="n">
        <v>3</v>
      </c>
      <c r="J16" s="4" t="n">
        <v>2</v>
      </c>
      <c r="K16" s="6" t="n">
        <f aca="false">I16*J16</f>
        <v>6</v>
      </c>
      <c r="L16" s="4" t="n">
        <f aca="false">IF(H16=0,0,ROUND((H16-K16)/H16*100,1))</f>
        <v>0</v>
      </c>
      <c r="M16" s="9" t="s">
        <v>42</v>
      </c>
      <c r="N16" s="4" t="s">
        <v>24</v>
      </c>
      <c r="O16" s="4" t="s">
        <v>87</v>
      </c>
      <c r="P16" s="5" t="s">
        <v>88</v>
      </c>
    </row>
    <row r="17" customFormat="false" ht="33.75" hidden="false" customHeight="true" outlineLevel="0" collapsed="false">
      <c r="A17" s="4" t="s">
        <v>89</v>
      </c>
      <c r="B17" s="5" t="s">
        <v>90</v>
      </c>
      <c r="C17" s="4" t="s">
        <v>67</v>
      </c>
      <c r="D17" s="4" t="s">
        <v>68</v>
      </c>
      <c r="E17" s="5" t="s">
        <v>91</v>
      </c>
      <c r="F17" s="4" t="n">
        <v>3</v>
      </c>
      <c r="G17" s="4" t="n">
        <v>3</v>
      </c>
      <c r="H17" s="4" t="n">
        <f aca="false">F17*G17</f>
        <v>9</v>
      </c>
      <c r="I17" s="4" t="n">
        <v>3</v>
      </c>
      <c r="J17" s="4" t="n">
        <v>3</v>
      </c>
      <c r="K17" s="6" t="n">
        <f aca="false">I17*J17</f>
        <v>9</v>
      </c>
      <c r="L17" s="4" t="n">
        <f aca="false">IF(H17=0,0,ROUND((H17-K17)/H17*100,1))</f>
        <v>0</v>
      </c>
      <c r="M17" s="9" t="s">
        <v>42</v>
      </c>
      <c r="N17" s="4" t="s">
        <v>43</v>
      </c>
      <c r="O17" s="4" t="s">
        <v>44</v>
      </c>
      <c r="P17" s="5" t="s">
        <v>92</v>
      </c>
    </row>
    <row r="18" customFormat="false" ht="33.75" hidden="false" customHeight="true" outlineLevel="0" collapsed="false">
      <c r="A18" s="4" t="s">
        <v>93</v>
      </c>
      <c r="B18" s="5" t="s">
        <v>94</v>
      </c>
      <c r="C18" s="4" t="s">
        <v>39</v>
      </c>
      <c r="D18" s="4" t="s">
        <v>21</v>
      </c>
      <c r="E18" s="5" t="s">
        <v>95</v>
      </c>
      <c r="F18" s="4" t="n">
        <v>4</v>
      </c>
      <c r="G18" s="4" t="n">
        <v>4</v>
      </c>
      <c r="H18" s="4" t="n">
        <f aca="false">F18*G18</f>
        <v>16</v>
      </c>
      <c r="I18" s="4" t="n">
        <v>4</v>
      </c>
      <c r="J18" s="4" t="n">
        <v>4</v>
      </c>
      <c r="K18" s="6" t="n">
        <f aca="false">I18*J18</f>
        <v>16</v>
      </c>
      <c r="L18" s="4" t="n">
        <f aca="false">IF(H18=0,0,ROUND((H18-K18)/H18*100,1))</f>
        <v>0</v>
      </c>
      <c r="M18" s="9" t="s">
        <v>42</v>
      </c>
      <c r="N18" s="4" t="s">
        <v>43</v>
      </c>
      <c r="O18" s="4" t="s">
        <v>96</v>
      </c>
      <c r="P18" s="5" t="s">
        <v>97</v>
      </c>
    </row>
    <row r="19" customFormat="false" ht="33.75" hidden="false" customHeight="true" outlineLevel="0" collapsed="false">
      <c r="A19" s="4" t="s">
        <v>98</v>
      </c>
      <c r="B19" s="5" t="s">
        <v>99</v>
      </c>
      <c r="C19" s="4" t="s">
        <v>48</v>
      </c>
      <c r="D19" s="4" t="s">
        <v>49</v>
      </c>
      <c r="E19" s="5" t="s">
        <v>100</v>
      </c>
      <c r="F19" s="4" t="n">
        <v>2</v>
      </c>
      <c r="G19" s="4" t="n">
        <v>2</v>
      </c>
      <c r="H19" s="4" t="n">
        <f aca="false">F19*G19</f>
        <v>4</v>
      </c>
      <c r="I19" s="4" t="n">
        <v>2</v>
      </c>
      <c r="J19" s="4" t="n">
        <v>1</v>
      </c>
      <c r="K19" s="6" t="n">
        <f aca="false">I19*J19</f>
        <v>2</v>
      </c>
      <c r="L19" s="4" t="n">
        <f aca="false">IF(H19=0,0,ROUND((H19-K19)/H19*100,1))</f>
        <v>50</v>
      </c>
      <c r="M19" s="11" t="s">
        <v>81</v>
      </c>
      <c r="N19" s="4" t="s">
        <v>101</v>
      </c>
      <c r="O19" s="4" t="s">
        <v>102</v>
      </c>
      <c r="P19" s="5" t="s">
        <v>103</v>
      </c>
    </row>
  </sheetData>
  <mergeCells count="2">
    <mergeCell ref="A1:H1"/>
    <mergeCell ref="A2:P2"/>
  </mergeCells>
  <conditionalFormatting sqref="K5:K19">
    <cfRule type="colorScale" priority="2">
      <colorScale>
        <cfvo type="min" val="0"/>
        <cfvo type="percentile" val="50"/>
        <cfvo type="max" val="0"/>
        <color rgb="FF63BE7B"/>
        <color rgb="FFFFEB84"/>
        <color rgb="FFC0392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104</v>
      </c>
      <c r="B1" s="1"/>
      <c r="C1" s="1"/>
      <c r="D1" s="1"/>
    </row>
    <row r="2" customFormat="false" ht="15" hidden="false" customHeight="false" outlineLevel="0" collapsed="false">
      <c r="A2" s="2" t="s">
        <v>105</v>
      </c>
      <c r="B2" s="2"/>
      <c r="C2" s="2"/>
      <c r="D2" s="2"/>
    </row>
    <row r="4" customFormat="false" ht="15" hidden="false" customHeight="false" outlineLevel="0" collapsed="false">
      <c r="A4" s="12" t="s">
        <v>106</v>
      </c>
      <c r="B4" s="13" t="n">
        <f aca="false">COUNTA('Risk Register'!A5:A19)</f>
        <v>15</v>
      </c>
    </row>
    <row r="5" customFormat="false" ht="15" hidden="false" customHeight="false" outlineLevel="0" collapsed="false">
      <c r="A5" s="12" t="s">
        <v>107</v>
      </c>
      <c r="B5" s="13" t="n">
        <f aca="false">SUM('Risk Register'!H5:H19)</f>
        <v>169</v>
      </c>
    </row>
    <row r="6" customFormat="false" ht="15" hidden="false" customHeight="false" outlineLevel="0" collapsed="false">
      <c r="A6" s="12" t="s">
        <v>108</v>
      </c>
      <c r="B6" s="13" t="n">
        <f aca="false">SUM('Risk Register'!K5:K19)</f>
        <v>116</v>
      </c>
    </row>
    <row r="7" customFormat="false" ht="15" hidden="false" customHeight="false" outlineLevel="0" collapsed="false">
      <c r="A7" s="12" t="s">
        <v>109</v>
      </c>
      <c r="B7" s="13" t="n">
        <f aca="false">ROUND((B5-B6)/B5*100,1)</f>
        <v>31.4</v>
      </c>
    </row>
    <row r="8" customFormat="false" ht="15" hidden="false" customHeight="false" outlineLevel="0" collapsed="false">
      <c r="A8" s="12"/>
    </row>
    <row r="9" customFormat="false" ht="15" hidden="false" customHeight="false" outlineLevel="0" collapsed="false">
      <c r="A9" s="14" t="s">
        <v>110</v>
      </c>
    </row>
    <row r="10" customFormat="false" ht="15" hidden="false" customHeight="false" outlineLevel="0" collapsed="false">
      <c r="A10" s="12" t="s">
        <v>23</v>
      </c>
      <c r="B10" s="13" t="n">
        <f aca="false">COUNTIF('Risk Register'!M5:M19,"Closed")</f>
        <v>4</v>
      </c>
    </row>
    <row r="11" customFormat="false" ht="15" hidden="false" customHeight="false" outlineLevel="0" collapsed="false">
      <c r="A11" s="12" t="s">
        <v>42</v>
      </c>
      <c r="B11" s="13" t="n">
        <f aca="false">COUNTIF('Risk Register'!M5:M19,"Open")</f>
        <v>7</v>
      </c>
    </row>
    <row r="12" customFormat="false" ht="15" hidden="false" customHeight="false" outlineLevel="0" collapsed="false">
      <c r="A12" s="12" t="s">
        <v>61</v>
      </c>
      <c r="B12" s="13" t="n">
        <f aca="false">COUNTIF('Risk Register'!M5:M19,"In Progress")</f>
        <v>1</v>
      </c>
    </row>
    <row r="13" customFormat="false" ht="15" hidden="false" customHeight="false" outlineLevel="0" collapsed="false">
      <c r="A13" s="12" t="s">
        <v>34</v>
      </c>
      <c r="B13" s="13" t="n">
        <f aca="false">COUNTIF('Risk Register'!M5:M19,"Risk Accepted")</f>
        <v>1</v>
      </c>
    </row>
    <row r="14" customFormat="false" ht="15" hidden="false" customHeight="false" outlineLevel="0" collapsed="false">
      <c r="A14" s="12" t="s">
        <v>81</v>
      </c>
      <c r="B14" s="13" t="n">
        <f aca="false">COUNTIF('Risk Register'!M5:M19,"Monitoring")</f>
        <v>2</v>
      </c>
    </row>
    <row r="15" customFormat="false" ht="15" hidden="false" customHeight="false" outlineLevel="0" collapsed="false">
      <c r="A15" s="12"/>
    </row>
    <row r="16" customFormat="false" ht="15" hidden="false" customHeight="false" outlineLevel="0" collapsed="false">
      <c r="A16" s="14" t="s">
        <v>111</v>
      </c>
    </row>
    <row r="17" customFormat="false" ht="15" hidden="false" customHeight="false" outlineLevel="0" collapsed="false">
      <c r="A17" s="12" t="s">
        <v>68</v>
      </c>
      <c r="B17" s="13" t="n">
        <f aca="false">SUMIF('Risk Register'!D5:D19,"Govern",'Risk Register'!K5:K19)</f>
        <v>18</v>
      </c>
    </row>
    <row r="18" customFormat="false" ht="15" hidden="false" customHeight="false" outlineLevel="0" collapsed="false">
      <c r="A18" s="12" t="s">
        <v>40</v>
      </c>
      <c r="B18" s="13" t="n">
        <f aca="false">SUMIF('Risk Register'!D5:D19,"Identify",'Risk Register'!K5:K19)</f>
        <v>12</v>
      </c>
    </row>
    <row r="19" customFormat="false" ht="15" hidden="false" customHeight="false" outlineLevel="0" collapsed="false">
      <c r="A19" s="12" t="s">
        <v>21</v>
      </c>
      <c r="B19" s="13" t="n">
        <f aca="false">SUMIF('Risk Register'!D5:D19,"Protect",'Risk Register'!K5:K19)</f>
        <v>43</v>
      </c>
    </row>
    <row r="20" customFormat="false" ht="15" hidden="false" customHeight="false" outlineLevel="0" collapsed="false">
      <c r="A20" s="12" t="s">
        <v>55</v>
      </c>
      <c r="B20" s="13" t="n">
        <f aca="false">SUMIF('Risk Register'!D5:D19,"Detect",'Risk Register'!K5:K19)</f>
        <v>25</v>
      </c>
    </row>
    <row r="21" customFormat="false" ht="15" hidden="false" customHeight="false" outlineLevel="0" collapsed="false">
      <c r="A21" s="12" t="s">
        <v>49</v>
      </c>
      <c r="B21" s="13" t="n">
        <f aca="false">SUMIF('Risk Register'!D5:D19,"Respond",'Risk Register'!K5:K19)</f>
        <v>14</v>
      </c>
    </row>
    <row r="22" customFormat="false" ht="15" hidden="false" customHeight="false" outlineLevel="0" collapsed="false">
      <c r="A22" s="12" t="s">
        <v>80</v>
      </c>
      <c r="B22" s="13" t="n">
        <f aca="false">SUMIF('Risk Register'!D5:D19,"Recover",'Risk Register'!K5:K19)</f>
        <v>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2026-09-07T12:58:39Z</dcterms:created>
  <dc:creator>openpyxl</dc:creator>
  <dc:description/>
  <dc:language>en-US</dc:language>
  <cp:lastModifiedBy/>
  <dcterms:modified xsi:type="dcterms:W3CDTF">2026-09-07T14:44:51Z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