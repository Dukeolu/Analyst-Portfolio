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Register" sheetId="1" state="visible" r:id="rId1"/>
    <sheet xmlns:r="http://schemas.openxmlformats.org/officeDocument/2006/relationships" name="GRC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8B2F2F"/>
      <sz val="14"/>
    </font>
    <font>
      <name val="Calibri"/>
      <i val="1"/>
      <color rgb="00524D4A"/>
      <sz val="9.5"/>
    </font>
    <font>
      <name val="Calibri"/>
      <b val="1"/>
      <color rgb="00FFFFFF"/>
      <sz val="10.5"/>
    </font>
    <font>
      <name val="Calibri"/>
      <sz val="10"/>
    </font>
    <font>
      <name val="Calibri"/>
      <b val="1"/>
      <sz val="10.5"/>
    </font>
    <font>
      <name val="Calibri"/>
      <b val="1"/>
      <color rgb="006B2020"/>
      <sz val="11"/>
    </font>
  </fonts>
  <fills count="8">
    <fill>
      <patternFill/>
    </fill>
    <fill>
      <patternFill patternType="gray125"/>
    </fill>
    <fill>
      <patternFill patternType="solid">
        <fgColor rgb="008B2F2F"/>
      </patternFill>
    </fill>
    <fill>
      <patternFill patternType="solid">
        <fgColor rgb="00D7EFD7"/>
      </patternFill>
    </fill>
    <fill>
      <patternFill patternType="solid">
        <fgColor rgb="00E3DCF5"/>
      </patternFill>
    </fill>
    <fill>
      <patternFill patternType="solid">
        <fgColor rgb="00F5D6D6"/>
      </patternFill>
    </fill>
    <fill>
      <patternFill patternType="solid">
        <fgColor rgb="00FBEAC7"/>
      </patternFill>
    </fill>
    <fill>
      <patternFill patternType="solid">
        <fgColor rgb="00DCEAF5"/>
      </patternFill>
    </fill>
  </fills>
  <borders count="2">
    <border>
      <left/>
      <right/>
      <top/>
      <bottom/>
      <diagonal/>
    </border>
    <border>
      <left style="thin">
        <color rgb="00C2B8B2"/>
      </left>
      <right style="thin">
        <color rgb="00C2B8B2"/>
      </right>
      <top style="thin">
        <color rgb="00C2B8B2"/>
      </top>
      <bottom style="thin">
        <color rgb="00C2B8B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0" fillId="0" borderId="1" applyAlignment="1" pivotButton="0" quotePrefix="0" xfId="0">
      <alignment vertical="top" wrapText="1"/>
    </xf>
    <xf numFmtId="0" fontId="4" fillId="3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4" fillId="7" borderId="1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4" customWidth="1" min="3" max="3"/>
    <col width="12" customWidth="1" min="4" max="4"/>
    <col width="26" customWidth="1" min="5" max="5"/>
    <col width="9" customWidth="1" min="6" max="6"/>
    <col width="8" customWidth="1" min="7" max="7"/>
    <col width="10" customWidth="1" min="8" max="8"/>
    <col width="9" customWidth="1" min="9" max="9"/>
    <col width="8" customWidth="1" min="10" max="10"/>
    <col width="10" customWidth="1" min="11" max="11"/>
    <col width="11" customWidth="1" min="12" max="12"/>
    <col width="13" customWidth="1" min="13" max="13"/>
    <col width="15" customWidth="1" min="14" max="14"/>
    <col width="12" customWidth="1" min="15" max="15"/>
    <col width="40" customWidth="1" min="16" max="16"/>
  </cols>
  <sheetData>
    <row r="1">
      <c r="A1" s="1" t="inlineStr">
        <is>
          <t>Meridian Manufacturing (simulated) — Cybersecurity &amp; IT Risk Register</t>
        </is>
      </c>
    </row>
    <row r="2">
      <c r="A2" s="2" t="inlineStr">
        <is>
          <t>Rolled up from every case in the IT &amp; Cybersecurity portfolio track. Scores are live formulas — edit likelihood, impact, or residual values below and the numbers recalculate.</t>
        </is>
      </c>
    </row>
    <row r="4">
      <c r="A4" s="3" t="inlineStr">
        <is>
          <t>Risk ID</t>
        </is>
      </c>
      <c r="B4" s="3" t="inlineStr">
        <is>
          <t>Title</t>
        </is>
      </c>
      <c r="C4" s="3" t="inlineStr">
        <is>
          <t>Category</t>
        </is>
      </c>
      <c r="D4" s="3" t="inlineStr">
        <is>
          <t>CSF Function</t>
        </is>
      </c>
      <c r="E4" s="3" t="inlineStr">
        <is>
          <t>Source Case</t>
        </is>
      </c>
      <c r="F4" s="3" t="inlineStr">
        <is>
          <t>Inh. Likelihood</t>
        </is>
      </c>
      <c r="G4" s="3" t="inlineStr">
        <is>
          <t>Inh. Impact</t>
        </is>
      </c>
      <c r="H4" s="3" t="inlineStr">
        <is>
          <t>Inherent Score</t>
        </is>
      </c>
      <c r="I4" s="3" t="inlineStr">
        <is>
          <t>Res. Likelihood</t>
        </is>
      </c>
      <c r="J4" s="3" t="inlineStr">
        <is>
          <t>Res. Impact</t>
        </is>
      </c>
      <c r="K4" s="3" t="inlineStr">
        <is>
          <t>Residual Score</t>
        </is>
      </c>
      <c r="L4" s="3" t="inlineStr">
        <is>
          <t>Risk Reduction %</t>
        </is>
      </c>
      <c r="M4" s="3" t="inlineStr">
        <is>
          <t>Status</t>
        </is>
      </c>
      <c r="N4" s="3" t="inlineStr">
        <is>
          <t>Owner</t>
        </is>
      </c>
      <c r="O4" s="3" t="inlineStr">
        <is>
          <t>Target Date</t>
        </is>
      </c>
      <c r="P4" s="3" t="inlineStr">
        <is>
          <t>Notes</t>
        </is>
      </c>
    </row>
    <row r="5" ht="34" customHeight="1">
      <c r="A5" s="4" t="inlineStr">
        <is>
          <t>R01</t>
        </is>
      </c>
      <c r="B5" s="5" t="inlineStr">
        <is>
          <t>Log4Shell RCE on the ERP/WMS integration server</t>
        </is>
      </c>
      <c r="C5" s="4" t="inlineStr">
        <is>
          <t>Vulnerability</t>
        </is>
      </c>
      <c r="D5" s="4" t="inlineStr">
        <is>
          <t>Protect</t>
        </is>
      </c>
      <c r="E5" s="5" t="inlineStr">
        <is>
          <t>Vulnerability Assessment (Cyber Case 02)</t>
        </is>
      </c>
      <c r="F5" s="4" t="n">
        <v>4</v>
      </c>
      <c r="G5" s="4" t="n">
        <v>5</v>
      </c>
      <c r="H5" s="4">
        <f>F5*G5</f>
        <v/>
      </c>
      <c r="I5" s="4" t="n">
        <v>1</v>
      </c>
      <c r="J5" s="4" t="n">
        <v>5</v>
      </c>
      <c r="K5" s="4">
        <f>I5*J5</f>
        <v/>
      </c>
      <c r="L5" s="4">
        <f>IF(H5=0,0,ROUND((H5-K5)/H5*100,1))</f>
        <v/>
      </c>
      <c r="M5" s="6" t="inlineStr">
        <is>
          <t>Closed</t>
        </is>
      </c>
      <c r="N5" s="4" t="inlineStr">
        <is>
          <t>Infrastructure</t>
        </is>
      </c>
      <c r="O5" s="4" t="inlineStr">
        <is>
          <t>2026-01-15</t>
        </is>
      </c>
      <c r="P5" s="5" t="inlineStr">
        <is>
          <t>Patched per refined remediation priority; server also hardened (Cyber Case 03)</t>
        </is>
      </c>
    </row>
    <row r="6" ht="34" customHeight="1">
      <c r="A6" s="4" t="inlineStr">
        <is>
          <t>R02</t>
        </is>
      </c>
      <c r="B6" s="5" t="inlineStr">
        <is>
          <t>Citrix VPN gateway RCE (refined priority #1 finding)</t>
        </is>
      </c>
      <c r="C6" s="4" t="inlineStr">
        <is>
          <t>Vulnerability</t>
        </is>
      </c>
      <c r="D6" s="4" t="inlineStr">
        <is>
          <t>Protect</t>
        </is>
      </c>
      <c r="E6" s="5" t="inlineStr">
        <is>
          <t>Vulnerability Assessment (Cyber Case 02)</t>
        </is>
      </c>
      <c r="F6" s="4" t="n">
        <v>4</v>
      </c>
      <c r="G6" s="4" t="n">
        <v>5</v>
      </c>
      <c r="H6" s="4">
        <f>F6*G6</f>
        <v/>
      </c>
      <c r="I6" s="4" t="n">
        <v>1</v>
      </c>
      <c r="J6" s="4" t="n">
        <v>5</v>
      </c>
      <c r="K6" s="4">
        <f>I6*J6</f>
        <v/>
      </c>
      <c r="L6" s="4">
        <f>IF(H6=0,0,ROUND((H6-K6)/H6*100,1))</f>
        <v/>
      </c>
      <c r="M6" s="6" t="inlineStr">
        <is>
          <t>Closed</t>
        </is>
      </c>
      <c r="N6" s="4" t="inlineStr">
        <is>
          <t>Infrastructure</t>
        </is>
      </c>
      <c r="O6" s="4" t="inlineStr">
        <is>
          <t>2026-01-15</t>
        </is>
      </c>
      <c r="P6" s="5" t="inlineStr">
        <is>
          <t>Patched first under the composite-score refined ranking, ahead of naive CVSS-only order</t>
        </is>
      </c>
    </row>
    <row r="7" ht="34" customHeight="1">
      <c r="A7" s="4" t="inlineStr">
        <is>
          <t>R03</t>
        </is>
      </c>
      <c r="B7" s="5" t="inlineStr">
        <is>
          <t>Legacy TLS 1.0/1.1 still enabled on the EDI integration API</t>
        </is>
      </c>
      <c r="C7" s="4" t="inlineStr">
        <is>
          <t>Configuration</t>
        </is>
      </c>
      <c r="D7" s="4" t="inlineStr">
        <is>
          <t>Protect</t>
        </is>
      </c>
      <c r="E7" s="5" t="inlineStr">
        <is>
          <t>Security Hardening (Cyber Case 03)</t>
        </is>
      </c>
      <c r="F7" s="4" t="n">
        <v>3</v>
      </c>
      <c r="G7" s="4" t="n">
        <v>3</v>
      </c>
      <c r="H7" s="4">
        <f>F7*G7</f>
        <v/>
      </c>
      <c r="I7" s="4" t="n">
        <v>2</v>
      </c>
      <c r="J7" s="4" t="n">
        <v>3</v>
      </c>
      <c r="K7" s="4">
        <f>I7*J7</f>
        <v/>
      </c>
      <c r="L7" s="4">
        <f>IF(H7=0,0,ROUND((H7-K7)/H7*100,1))</f>
        <v/>
      </c>
      <c r="M7" s="7" t="inlineStr">
        <is>
          <t>Risk Accepted</t>
        </is>
      </c>
      <c r="N7" s="4" t="inlineStr">
        <is>
          <t>Infrastructure</t>
        </is>
      </c>
      <c r="O7" s="4" t="inlineStr">
        <is>
          <t>2026-Q2</t>
        </is>
      </c>
      <c r="P7" s="5" t="inlineStr">
        <is>
          <t>One trading partner's client can't yet negotiate TLS 1.2+; migration scheduled, disclosed and time-boxed</t>
        </is>
      </c>
    </row>
    <row r="8" ht="34" customHeight="1">
      <c r="A8" s="4" t="inlineStr">
        <is>
          <t>R04</t>
        </is>
      </c>
      <c r="B8" s="5" t="inlineStr">
        <is>
          <t>Vendor support account still active &amp; privileged 8 months post-engagement</t>
        </is>
      </c>
      <c r="C8" s="4" t="inlineStr">
        <is>
          <t>Access Control</t>
        </is>
      </c>
      <c r="D8" s="4" t="inlineStr">
        <is>
          <t>Identify</t>
        </is>
      </c>
      <c r="E8" s="5" t="inlineStr">
        <is>
          <t>Incident Response Tabletop (Cyber Case 04)</t>
        </is>
      </c>
      <c r="F8" s="4" t="n">
        <v>3</v>
      </c>
      <c r="G8" s="4" t="n">
        <v>4</v>
      </c>
      <c r="H8" s="4">
        <f>F8*G8</f>
        <v/>
      </c>
      <c r="I8" s="4" t="n">
        <v>3</v>
      </c>
      <c r="J8" s="4" t="n">
        <v>4</v>
      </c>
      <c r="K8" s="4">
        <f>I8*J8</f>
        <v/>
      </c>
      <c r="L8" s="4">
        <f>IF(H8=0,0,ROUND((H8-K8)/H8*100,1))</f>
        <v/>
      </c>
      <c r="M8" s="8" t="inlineStr">
        <is>
          <t>Open</t>
        </is>
      </c>
      <c r="N8" s="4" t="inlineStr">
        <is>
          <t>IT Security</t>
        </is>
      </c>
      <c r="O8" s="4" t="inlineStr">
        <is>
          <t>2026-10-01</t>
        </is>
      </c>
      <c r="P8" s="5" t="inlineStr">
        <is>
          <t>Was the actual lateral-movement path used in the tabletop scenario; no compensating control yet</t>
        </is>
      </c>
    </row>
    <row r="9" ht="34" customHeight="1">
      <c r="A9" s="4" t="inlineStr">
        <is>
          <t>R05</t>
        </is>
      </c>
      <c r="B9" s="5" t="inlineStr">
        <is>
          <t>No ransomware-specific incident response runbook</t>
        </is>
      </c>
      <c r="C9" s="4" t="inlineStr">
        <is>
          <t>Response Readiness</t>
        </is>
      </c>
      <c r="D9" s="4" t="inlineStr">
        <is>
          <t>Respond</t>
        </is>
      </c>
      <c r="E9" s="5" t="inlineStr">
        <is>
          <t>Incident Response Tabletop (Cyber Case 04)</t>
        </is>
      </c>
      <c r="F9" s="4" t="n">
        <v>3</v>
      </c>
      <c r="G9" s="4" t="n">
        <v>4</v>
      </c>
      <c r="H9" s="4">
        <f>F9*G9</f>
        <v/>
      </c>
      <c r="I9" s="4" t="n">
        <v>3</v>
      </c>
      <c r="J9" s="4" t="n">
        <v>4</v>
      </c>
      <c r="K9" s="4">
        <f>I9*J9</f>
        <v/>
      </c>
      <c r="L9" s="4">
        <f>IF(H9=0,0,ROUND((H9-K9)/H9*100,1))</f>
        <v/>
      </c>
      <c r="M9" s="8" t="inlineStr">
        <is>
          <t>Open</t>
        </is>
      </c>
      <c r="N9" s="4" t="inlineStr">
        <is>
          <t>IT Security</t>
        </is>
      </c>
      <c r="O9" s="4" t="inlineStr">
        <is>
          <t>2026-09-30</t>
        </is>
      </c>
      <c r="P9" s="5" t="inlineStr">
        <is>
          <t>Team improvised containment steps in the tabletop; adapt the VPN outage runbook format</t>
        </is>
      </c>
    </row>
    <row r="10" ht="34" customHeight="1">
      <c r="A10" s="4" t="inlineStr">
        <is>
          <t>R06</t>
        </is>
      </c>
      <c r="B10" s="5" t="inlineStr">
        <is>
          <t>Phishing reports take ~2 days to reach security (26h detection gap)</t>
        </is>
      </c>
      <c r="C10" s="4" t="inlineStr">
        <is>
          <t>Detection Gap</t>
        </is>
      </c>
      <c r="D10" s="4" t="inlineStr">
        <is>
          <t>Detect</t>
        </is>
      </c>
      <c r="E10" s="5" t="inlineStr">
        <is>
          <t>Incident Response Tabletop (Cyber Case 04)</t>
        </is>
      </c>
      <c r="F10" s="4" t="n">
        <v>4</v>
      </c>
      <c r="G10" s="4" t="n">
        <v>4</v>
      </c>
      <c r="H10" s="4">
        <f>F10*G10</f>
        <v/>
      </c>
      <c r="I10" s="4" t="n">
        <v>4</v>
      </c>
      <c r="J10" s="4" t="n">
        <v>4</v>
      </c>
      <c r="K10" s="4">
        <f>I10*J10</f>
        <v/>
      </c>
      <c r="L10" s="4">
        <f>IF(H10=0,0,ROUND((H10-K10)/H10*100,1))</f>
        <v/>
      </c>
      <c r="M10" s="8" t="inlineStr">
        <is>
          <t>Open</t>
        </is>
      </c>
      <c r="N10" s="4" t="inlineStr">
        <is>
          <t>IT Security</t>
        </is>
      </c>
      <c r="O10" s="4" t="inlineStr">
        <is>
          <t>2026-10-15</t>
        </is>
      </c>
      <c r="P10" s="5" t="inlineStr">
        <is>
          <t>Single highest-priority recommendation from the tabletop after-action report</t>
        </is>
      </c>
    </row>
    <row r="11" ht="34" customHeight="1">
      <c r="A11" s="4" t="inlineStr">
        <is>
          <t>R07</t>
        </is>
      </c>
      <c r="B11" s="5" t="inlineStr">
        <is>
          <t>Account-takeover detection rule not yet deployed</t>
        </is>
      </c>
      <c r="C11" s="4" t="inlineStr">
        <is>
          <t>Detection Gap</t>
        </is>
      </c>
      <c r="D11" s="4" t="inlineStr">
        <is>
          <t>Detect</t>
        </is>
      </c>
      <c r="E11" s="5" t="inlineStr">
        <is>
          <t>Log Analysis / Intrusion Detection (prior case)</t>
        </is>
      </c>
      <c r="F11" s="4" t="n">
        <v>3</v>
      </c>
      <c r="G11" s="4" t="n">
        <v>4</v>
      </c>
      <c r="H11" s="4">
        <f>F11*G11</f>
        <v/>
      </c>
      <c r="I11" s="4" t="n">
        <v>3</v>
      </c>
      <c r="J11" s="4" t="n">
        <v>3</v>
      </c>
      <c r="K11" s="4">
        <f>I11*J11</f>
        <v/>
      </c>
      <c r="L11" s="4">
        <f>IF(H11=0,0,ROUND((H11-K11)/H11*100,1))</f>
        <v/>
      </c>
      <c r="M11" s="9" t="inlineStr">
        <is>
          <t>In Progress</t>
        </is>
      </c>
      <c r="N11" s="4" t="inlineStr">
        <is>
          <t>SOC</t>
        </is>
      </c>
      <c r="O11" s="4" t="inlineStr">
        <is>
          <t>2026-11-01</t>
        </is>
      </c>
      <c r="P11" s="5" t="inlineStr">
        <is>
          <t>Would likely have caught the tabletop's user0147 compromise at hour 0-1 instead of hour 26</t>
        </is>
      </c>
    </row>
    <row r="12" ht="34" customHeight="1">
      <c r="A12" s="4" t="inlineStr">
        <is>
          <t>R08</t>
        </is>
      </c>
      <c r="B12" s="5" t="inlineStr">
        <is>
          <t>No recurring access review for third-party / vendor accounts</t>
        </is>
      </c>
      <c r="C12" s="4" t="inlineStr">
        <is>
          <t>Governance</t>
        </is>
      </c>
      <c r="D12" s="4" t="inlineStr">
        <is>
          <t>Govern</t>
        </is>
      </c>
      <c r="E12" s="5" t="inlineStr">
        <is>
          <t>Incident Response Tabletop (Cyber Case 04)</t>
        </is>
      </c>
      <c r="F12" s="4" t="n">
        <v>3</v>
      </c>
      <c r="G12" s="4" t="n">
        <v>3</v>
      </c>
      <c r="H12" s="4">
        <f>F12*G12</f>
        <v/>
      </c>
      <c r="I12" s="4" t="n">
        <v>3</v>
      </c>
      <c r="J12" s="4" t="n">
        <v>3</v>
      </c>
      <c r="K12" s="4">
        <f>I12*J12</f>
        <v/>
      </c>
      <c r="L12" s="4">
        <f>IF(H12=0,0,ROUND((H12-K12)/H12*100,1))</f>
        <v/>
      </c>
      <c r="M12" s="8" t="inlineStr">
        <is>
          <t>Open</t>
        </is>
      </c>
      <c r="N12" s="4" t="inlineStr">
        <is>
          <t>IT Security</t>
        </is>
      </c>
      <c r="O12" s="4" t="inlineStr">
        <is>
          <t>2026-10-01</t>
        </is>
      </c>
      <c r="P12" s="5" t="inlineStr">
        <is>
          <t>Standing process gap, independent of any single incident</t>
        </is>
      </c>
    </row>
    <row r="13" ht="34" customHeight="1">
      <c r="A13" s="4" t="inlineStr">
        <is>
          <t>R09</t>
        </is>
      </c>
      <c r="B13" s="5" t="inlineStr">
        <is>
          <t>SSH accepted password auth &amp; legacy ciphers (pre-hardening baseline)</t>
        </is>
      </c>
      <c r="C13" s="4" t="inlineStr">
        <is>
          <t>Configuration</t>
        </is>
      </c>
      <c r="D13" s="4" t="inlineStr">
        <is>
          <t>Protect</t>
        </is>
      </c>
      <c r="E13" s="5" t="inlineStr">
        <is>
          <t>Security Hardening (Cyber Case 03)</t>
        </is>
      </c>
      <c r="F13" s="4" t="n">
        <v>3</v>
      </c>
      <c r="G13" s="4" t="n">
        <v>3</v>
      </c>
      <c r="H13" s="4">
        <f>F13*G13</f>
        <v/>
      </c>
      <c r="I13" s="4" t="n">
        <v>1</v>
      </c>
      <c r="J13" s="4" t="n">
        <v>3</v>
      </c>
      <c r="K13" s="4">
        <f>I13*J13</f>
        <v/>
      </c>
      <c r="L13" s="4">
        <f>IF(H13=0,0,ROUND((H13-K13)/H13*100,1))</f>
        <v/>
      </c>
      <c r="M13" s="6" t="inlineStr">
        <is>
          <t>Closed</t>
        </is>
      </c>
      <c r="N13" s="4" t="inlineStr">
        <is>
          <t>Infrastructure</t>
        </is>
      </c>
      <c r="O13" s="4" t="inlineStr">
        <is>
          <t>2026-01-20</t>
        </is>
      </c>
      <c r="P13" s="5" t="inlineStr">
        <is>
          <t>Access &amp; SSH category went from 0/6 to 6/6 controls passing</t>
        </is>
      </c>
    </row>
    <row r="14" ht="34" customHeight="1">
      <c r="A14" s="4" t="inlineStr">
        <is>
          <t>R10</t>
        </is>
      </c>
      <c r="B14" s="5" t="inlineStr">
        <is>
          <t>World-writable files &amp; empty-password accounts (pre-hardening baseline)</t>
        </is>
      </c>
      <c r="C14" s="4" t="inlineStr">
        <is>
          <t>Configuration</t>
        </is>
      </c>
      <c r="D14" s="4" t="inlineStr">
        <is>
          <t>Protect</t>
        </is>
      </c>
      <c r="E14" s="5" t="inlineStr">
        <is>
          <t>Security Hardening (Cyber Case 03)</t>
        </is>
      </c>
      <c r="F14" s="4" t="n">
        <v>3</v>
      </c>
      <c r="G14" s="4" t="n">
        <v>3</v>
      </c>
      <c r="H14" s="4">
        <f>F14*G14</f>
        <v/>
      </c>
      <c r="I14" s="4" t="n">
        <v>1</v>
      </c>
      <c r="J14" s="4" t="n">
        <v>2</v>
      </c>
      <c r="K14" s="4">
        <f>I14*J14</f>
        <v/>
      </c>
      <c r="L14" s="4">
        <f>IF(H14=0,0,ROUND((H14-K14)/H14*100,1))</f>
        <v/>
      </c>
      <c r="M14" s="6" t="inlineStr">
        <is>
          <t>Closed</t>
        </is>
      </c>
      <c r="N14" s="4" t="inlineStr">
        <is>
          <t>Infrastructure</t>
        </is>
      </c>
      <c r="O14" s="4" t="inlineStr">
        <is>
          <t>2026-01-20</t>
        </is>
      </c>
      <c r="P14" s="5" t="inlineStr">
        <is>
          <t>Filesystem &amp; Access categories both reached 100% post-remediation</t>
        </is>
      </c>
    </row>
    <row r="15" ht="34" customHeight="1">
      <c r="A15" s="4" t="inlineStr">
        <is>
          <t>R11</t>
        </is>
      </c>
      <c r="B15" s="5" t="inlineStr">
        <is>
          <t>Backup recovery point objective is a 4-hour window, unvalidated beyond one incident</t>
        </is>
      </c>
      <c r="C15" s="4" t="inlineStr">
        <is>
          <t>Recovery</t>
        </is>
      </c>
      <c r="D15" s="4" t="inlineStr">
        <is>
          <t>Recover</t>
        </is>
      </c>
      <c r="E15" s="5" t="inlineStr">
        <is>
          <t>Incident Response Tabletop (Cyber Case 04)</t>
        </is>
      </c>
      <c r="F15" s="4" t="n">
        <v>2</v>
      </c>
      <c r="G15" s="4" t="n">
        <v>3</v>
      </c>
      <c r="H15" s="4">
        <f>F15*G15</f>
        <v/>
      </c>
      <c r="I15" s="4" t="n">
        <v>2</v>
      </c>
      <c r="J15" s="4" t="n">
        <v>2</v>
      </c>
      <c r="K15" s="4">
        <f>I15*J15</f>
        <v/>
      </c>
      <c r="L15" s="4">
        <f>IF(H15=0,0,ROUND((H15-K15)/H15*100,1))</f>
        <v/>
      </c>
      <c r="M15" s="10" t="inlineStr">
        <is>
          <t>Monitoring</t>
        </is>
      </c>
      <c r="N15" s="4" t="inlineStr">
        <is>
          <t>IT Infrastructure</t>
        </is>
      </c>
      <c r="O15" s="4" t="inlineStr">
        <is>
          <t>2026-Q1 review</t>
        </is>
      </c>
      <c r="P15" s="5" t="inlineStr">
        <is>
          <t>Restore worked cleanly in the tabletop; RPO tightening is a future efficiency question, not a current gap</t>
        </is>
      </c>
    </row>
    <row r="16" ht="34" customHeight="1">
      <c r="A16" s="4" t="inlineStr">
        <is>
          <t>R12</t>
        </is>
      </c>
      <c r="B16" s="5" t="inlineStr">
        <is>
          <t>181 lower-severity scan findings outside the 8-hour remediation window</t>
        </is>
      </c>
      <c r="C16" s="4" t="inlineStr">
        <is>
          <t>Vulnerability</t>
        </is>
      </c>
      <c r="D16" s="4" t="inlineStr">
        <is>
          <t>Protect</t>
        </is>
      </c>
      <c r="E16" s="5" t="inlineStr">
        <is>
          <t>Vulnerability Assessment (Cyber Case 02)</t>
        </is>
      </c>
      <c r="F16" s="4" t="n">
        <v>3</v>
      </c>
      <c r="G16" s="4" t="n">
        <v>2</v>
      </c>
      <c r="H16" s="4">
        <f>F16*G16</f>
        <v/>
      </c>
      <c r="I16" s="4" t="n">
        <v>3</v>
      </c>
      <c r="J16" s="4" t="n">
        <v>2</v>
      </c>
      <c r="K16" s="4">
        <f>I16*J16</f>
        <v/>
      </c>
      <c r="L16" s="4">
        <f>IF(H16=0,0,ROUND((H16-K16)/H16*100,1))</f>
        <v/>
      </c>
      <c r="M16" s="8" t="inlineStr">
        <is>
          <t>Open</t>
        </is>
      </c>
      <c r="N16" s="4" t="inlineStr">
        <is>
          <t>Infrastructure</t>
        </is>
      </c>
      <c r="O16" s="4" t="inlineStr">
        <is>
          <t>2026-Q4 backlog</t>
        </is>
      </c>
      <c r="P16" s="5" t="inlineStr">
        <is>
          <t>Refined plan closed 29.0% of composite risk in the first 8 hours; the remainder is tracked backlog, not ignored</t>
        </is>
      </c>
    </row>
    <row r="17" ht="34" customHeight="1">
      <c r="A17" s="4" t="inlineStr">
        <is>
          <t>R13</t>
        </is>
      </c>
      <c r="B17" s="5" t="inlineStr">
        <is>
          <t>No policy trigger tying account deprovisioning to HR/vendor contract end dates</t>
        </is>
      </c>
      <c r="C17" s="4" t="inlineStr">
        <is>
          <t>Governance</t>
        </is>
      </c>
      <c r="D17" s="4" t="inlineStr">
        <is>
          <t>Govern</t>
        </is>
      </c>
      <c r="E17" s="5" t="inlineStr">
        <is>
          <t>Synthesized across Cyber Case 04 findings</t>
        </is>
      </c>
      <c r="F17" s="4" t="n">
        <v>3</v>
      </c>
      <c r="G17" s="4" t="n">
        <v>3</v>
      </c>
      <c r="H17" s="4">
        <f>F17*G17</f>
        <v/>
      </c>
      <c r="I17" s="4" t="n">
        <v>3</v>
      </c>
      <c r="J17" s="4" t="n">
        <v>3</v>
      </c>
      <c r="K17" s="4">
        <f>I17*J17</f>
        <v/>
      </c>
      <c r="L17" s="4">
        <f>IF(H17=0,0,ROUND((H17-K17)/H17*100,1))</f>
        <v/>
      </c>
      <c r="M17" s="8" t="inlineStr">
        <is>
          <t>Open</t>
        </is>
      </c>
      <c r="N17" s="4" t="inlineStr">
        <is>
          <t>IT Security</t>
        </is>
      </c>
      <c r="O17" s="4" t="inlineStr">
        <is>
          <t>2026-10-01</t>
        </is>
      </c>
      <c r="P17" s="5" t="inlineStr">
        <is>
          <t>The policy-level root cause underneath both R04 and R08 — one fix closes both symptoms</t>
        </is>
      </c>
    </row>
    <row r="18" ht="34" customHeight="1">
      <c r="A18" s="4" t="inlineStr">
        <is>
          <t>R14</t>
        </is>
      </c>
      <c r="B18" s="5" t="inlineStr">
        <is>
          <t>Warehouse &amp; Ops VPN accounts use single-factor authentication</t>
        </is>
      </c>
      <c r="C18" s="4" t="inlineStr">
        <is>
          <t>Access Control</t>
        </is>
      </c>
      <c r="D18" s="4" t="inlineStr">
        <is>
          <t>Protect</t>
        </is>
      </c>
      <c r="E18" s="5" t="inlineStr">
        <is>
          <t>Synthesized across IT Case 01, IT Case 04, Cyber Case 02, Cyber Case 04</t>
        </is>
      </c>
      <c r="F18" s="4" t="n">
        <v>4</v>
      </c>
      <c r="G18" s="4" t="n">
        <v>4</v>
      </c>
      <c r="H18" s="4">
        <f>F18*G18</f>
        <v/>
      </c>
      <c r="I18" s="4" t="n">
        <v>4</v>
      </c>
      <c r="J18" s="4" t="n">
        <v>4</v>
      </c>
      <c r="K18" s="4">
        <f>I18*J18</f>
        <v/>
      </c>
      <c r="L18" s="4">
        <f>IF(H18=0,0,ROUND((H18-K18)/H18*100,1))</f>
        <v/>
      </c>
      <c r="M18" s="8" t="inlineStr">
        <is>
          <t>Open</t>
        </is>
      </c>
      <c r="N18" s="4" t="inlineStr">
        <is>
          <t>IT Security</t>
        </is>
      </c>
      <c r="O18" s="4" t="inlineStr">
        <is>
          <t>2026-11-15</t>
        </is>
      </c>
      <c r="P18" s="5" t="inlineStr">
        <is>
          <t>The VPN gateway recurs as an initial-access or availability theme in four separate cases; MFA is the common fix</t>
        </is>
      </c>
    </row>
    <row r="19" ht="34" customHeight="1">
      <c r="A19" s="4" t="inlineStr">
        <is>
          <t>R15</t>
        </is>
      </c>
      <c r="B19" s="5" t="inlineStr">
        <is>
          <t>KB self-service articles still building toward target adoption</t>
        </is>
      </c>
      <c r="C19" s="4" t="inlineStr">
        <is>
          <t>Response Readiness</t>
        </is>
      </c>
      <c r="D19" s="4" t="inlineStr">
        <is>
          <t>Respond</t>
        </is>
      </c>
      <c r="E19" s="5" t="inlineStr">
        <is>
          <t>Knowledge Base &amp; Runbook Set (IT Case 04)</t>
        </is>
      </c>
      <c r="F19" s="4" t="n">
        <v>2</v>
      </c>
      <c r="G19" s="4" t="n">
        <v>2</v>
      </c>
      <c r="H19" s="4">
        <f>F19*G19</f>
        <v/>
      </c>
      <c r="I19" s="4" t="n">
        <v>2</v>
      </c>
      <c r="J19" s="4" t="n">
        <v>1</v>
      </c>
      <c r="K19" s="4">
        <f>I19*J19</f>
        <v/>
      </c>
      <c r="L19" s="4">
        <f>IF(H19=0,0,ROUND((H19-K19)/H19*100,1))</f>
        <v/>
      </c>
      <c r="M19" s="10" t="inlineStr">
        <is>
          <t>Monitoring</t>
        </is>
      </c>
      <c r="N19" s="4" t="inlineStr">
        <is>
          <t>IT Support</t>
        </is>
      </c>
      <c r="O19" s="4" t="inlineStr">
        <is>
          <t>2026-Q2 review</t>
        </is>
      </c>
      <c r="P19" s="5" t="inlineStr">
        <is>
          <t>25% adoption assumption modeled in that case; higher adoption further reduces technician load</t>
        </is>
      </c>
    </row>
  </sheetData>
  <mergeCells count="2">
    <mergeCell ref="A2:P2"/>
    <mergeCell ref="A1:H1"/>
  </mergeCells>
  <conditionalFormatting sqref="K5:K19">
    <cfRule type="colorScale" priority="1">
      <colorScale>
        <cfvo type="min"/>
        <cfvo type="percentile" val="50"/>
        <cfvo type="max"/>
        <color rgb="0063BE7B"/>
        <color rgb="00FFEB84"/>
        <color rgb="00C0392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</cols>
  <sheetData>
    <row r="1">
      <c r="A1" s="1" t="inlineStr">
        <is>
          <t>GRC Summary — live rollup of the Risk Register sheet</t>
        </is>
      </c>
    </row>
    <row r="2">
      <c r="A2" s="2" t="inlineStr">
        <is>
          <t>Every value below is a formula referencing 'Risk Register' — no hand-typed totals.</t>
        </is>
      </c>
    </row>
    <row r="4">
      <c r="A4" s="11" t="inlineStr">
        <is>
          <t>Total risks tracked</t>
        </is>
      </c>
      <c r="B4" s="12">
        <f>COUNTA('Risk Register'!A5:A19)</f>
        <v/>
      </c>
    </row>
    <row r="5">
      <c r="A5" s="11" t="inlineStr">
        <is>
          <t>Total inherent risk score</t>
        </is>
      </c>
      <c r="B5" s="12">
        <f>SUM('Risk Register'!H5:H19)</f>
        <v/>
      </c>
    </row>
    <row r="6">
      <c r="A6" s="11" t="inlineStr">
        <is>
          <t>Total residual risk score</t>
        </is>
      </c>
      <c r="B6" s="12">
        <f>SUM('Risk Register'!K5:K19)</f>
        <v/>
      </c>
    </row>
    <row r="7">
      <c r="A7" s="11" t="inlineStr">
        <is>
          <t>Overall risk reduction %</t>
        </is>
      </c>
      <c r="B7" s="12">
        <f>ROUND((B5-B6)/B5*100,1)</f>
        <v/>
      </c>
    </row>
    <row r="8">
      <c r="A8" s="11" t="inlineStr"/>
    </row>
    <row r="9">
      <c r="A9" s="13" t="inlineStr">
        <is>
          <t>Status breakdown</t>
        </is>
      </c>
    </row>
    <row r="10">
      <c r="A10" s="11" t="inlineStr">
        <is>
          <t>Closed</t>
        </is>
      </c>
      <c r="B10" s="12">
        <f>COUNTIF('Risk Register'!M5:M19,"Closed")</f>
        <v/>
      </c>
    </row>
    <row r="11">
      <c r="A11" s="11" t="inlineStr">
        <is>
          <t>Open</t>
        </is>
      </c>
      <c r="B11" s="12">
        <f>COUNTIF('Risk Register'!M5:M19,"Open")</f>
        <v/>
      </c>
    </row>
    <row r="12">
      <c r="A12" s="11" t="inlineStr">
        <is>
          <t>In Progress</t>
        </is>
      </c>
      <c r="B12" s="12">
        <f>COUNTIF('Risk Register'!M5:M19,"In Progress")</f>
        <v/>
      </c>
    </row>
    <row r="13">
      <c r="A13" s="11" t="inlineStr">
        <is>
          <t>Risk Accepted</t>
        </is>
      </c>
      <c r="B13" s="12">
        <f>COUNTIF('Risk Register'!M5:M19,"Risk Accepted")</f>
        <v/>
      </c>
    </row>
    <row r="14">
      <c r="A14" s="11" t="inlineStr">
        <is>
          <t>Monitoring</t>
        </is>
      </c>
      <c r="B14" s="12">
        <f>COUNTIF('Risk Register'!M5:M19,"Monitoring")</f>
        <v/>
      </c>
    </row>
    <row r="15">
      <c r="A15" s="11" t="inlineStr"/>
    </row>
    <row r="16">
      <c r="A16" s="13" t="inlineStr">
        <is>
          <t>Residual risk by CSF function</t>
        </is>
      </c>
    </row>
    <row r="17">
      <c r="A17" s="11" t="inlineStr">
        <is>
          <t>Govern</t>
        </is>
      </c>
      <c r="B17" s="12">
        <f>SUMIF('Risk Register'!D5:D19,"Govern",'Risk Register'!K5:K19)</f>
        <v/>
      </c>
    </row>
    <row r="18">
      <c r="A18" s="11" t="inlineStr">
        <is>
          <t>Identify</t>
        </is>
      </c>
      <c r="B18" s="12">
        <f>SUMIF('Risk Register'!D5:D19,"Identify",'Risk Register'!K5:K19)</f>
        <v/>
      </c>
    </row>
    <row r="19">
      <c r="A19" s="11" t="inlineStr">
        <is>
          <t>Protect</t>
        </is>
      </c>
      <c r="B19" s="12">
        <f>SUMIF('Risk Register'!D5:D19,"Protect",'Risk Register'!K5:K19)</f>
        <v/>
      </c>
    </row>
    <row r="20">
      <c r="A20" s="11" t="inlineStr">
        <is>
          <t>Detect</t>
        </is>
      </c>
      <c r="B20" s="12">
        <f>SUMIF('Risk Register'!D5:D19,"Detect",'Risk Register'!K5:K19)</f>
        <v/>
      </c>
    </row>
    <row r="21">
      <c r="A21" s="11" t="inlineStr">
        <is>
          <t>Respond</t>
        </is>
      </c>
      <c r="B21" s="12">
        <f>SUMIF('Risk Register'!D5:D19,"Respond",'Risk Register'!K5:K19)</f>
        <v/>
      </c>
    </row>
    <row r="22">
      <c r="A22" s="11" t="inlineStr">
        <is>
          <t>Recover</t>
        </is>
      </c>
      <c r="B22" s="12">
        <f>SUMIF('Risk Register'!D5:D19,"Recover",'Risk Register'!K5:K19)</f>
        <v/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2026-09-07T12:58:39Z</dcterms:created>
  <dcterms:modified xmlns:dcterms="http://purl.org/dc/terms/" xmlns:xsi="http://www.w3.org/2001/XMLSchema-instance" xsi:type="dcterms:W3CDTF">2026-09-07T12:58:39Z</dcterms:modified>
</cp:coreProperties>
</file>